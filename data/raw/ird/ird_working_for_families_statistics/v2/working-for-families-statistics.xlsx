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https://irnz-my.sharepoint.com/personal/brian_bond_ird_govt_nz/Documents/Comms plan/Content/WFF stats/"/>
    </mc:Choice>
  </mc:AlternateContent>
  <xr:revisionPtr revIDLastSave="0" documentId="8_{8CF41CFB-BD5B-4CC0-81FB-6AF81754572B}" xr6:coauthVersionLast="47" xr6:coauthVersionMax="47" xr10:uidLastSave="{00000000-0000-0000-0000-000000000000}"/>
  <bookViews>
    <workbookView xWindow="-120" yWindow="-120" windowWidth="29040" windowHeight="15720" xr2:uid="{E5BB59D3-C4BA-4856-8FDC-1BA5100AFD0F}"/>
  </bookViews>
  <sheets>
    <sheet name="Explanatory notes" sheetId="4" r:id="rId1"/>
    <sheet name="Working for familes parameters" sheetId="24" r:id="rId2"/>
    <sheet name="Working for families charts" sheetId="3" r:id="rId3"/>
    <sheet name="Working for families data" sheetId="1" r:id="rId4"/>
    <sheet name="Working for families income" sheetId="12"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<sst xmlns="http://schemas.openxmlformats.org/spreadsheetml/2006/main" count="617" uniqueCount="193">
  <si>
    <t>Tax Year</t>
  </si>
  <si>
    <t>FTC</t>
  </si>
  <si>
    <t>CTC</t>
  </si>
  <si>
    <t>MFTC</t>
  </si>
  <si>
    <t>PTC</t>
  </si>
  <si>
    <t>IWTC</t>
  </si>
  <si>
    <t>BSTC</t>
  </si>
  <si>
    <t>Total number of families*</t>
  </si>
  <si>
    <t>Percentage Change</t>
  </si>
  <si>
    <t>-</t>
  </si>
  <si>
    <t xml:space="preserve">* The total number of families receiving at least one tax credit.  Because families can receive more than one Working for </t>
  </si>
  <si>
    <t>Families tax credit the totals of the individual tax credit columns columns will not add to the total column.</t>
  </si>
  <si>
    <t>Total</t>
  </si>
  <si>
    <t>R</t>
  </si>
  <si>
    <t>Working for Families Tax Credits - number of children supported</t>
  </si>
  <si>
    <t>1 Child</t>
  </si>
  <si>
    <t>2 Children</t>
  </si>
  <si>
    <t>3 Children</t>
  </si>
  <si>
    <t>4 Children</t>
  </si>
  <si>
    <t>6 Children</t>
  </si>
  <si>
    <t>5 Children</t>
  </si>
  <si>
    <t>7+ Children</t>
  </si>
  <si>
    <t xml:space="preserve">Working for Families Tax Credits - family income distribution with non-zero entitlement </t>
  </si>
  <si>
    <t xml:space="preserve">The count of families has been rounded to the nearest 10, and the total family income has been rounded to the nearest 0.1 million dollars. Data may not add up due to this rounding.
</t>
  </si>
  <si>
    <t>2023-24 Tax Year</t>
  </si>
  <si>
    <t>Total entitlement 
($million)</t>
  </si>
  <si>
    <t>FTC entitlement
($million)</t>
  </si>
  <si>
    <t>IWTC entitlement
($million)</t>
  </si>
  <si>
    <t>BSTC entitlement
($million)</t>
  </si>
  <si>
    <t>Unknown**</t>
  </si>
  <si>
    <t>2020-21 Tax Year</t>
  </si>
  <si>
    <t>2021-22 Tax Year</t>
  </si>
  <si>
    <t>2022-23 Tax Year</t>
  </si>
  <si>
    <t>2019-20 Tax Year</t>
  </si>
  <si>
    <t>* The tables only include information for families eligible for Working for Families tax credits in that tax year. Families not eligible are excluded.</t>
  </si>
  <si>
    <t>Rounding adjustment</t>
  </si>
  <si>
    <t>The income distribution for MFTC entitlement has not been included due to a small volume of recipients.</t>
  </si>
  <si>
    <t>New</t>
  </si>
  <si>
    <t>2024-25 Tax Year</t>
  </si>
  <si>
    <t>As a result, care should be taken when comparing these figures with previously published child counts.</t>
  </si>
  <si>
    <t xml:space="preserve">to better reflect children associated with Working for Families entitlement periods and support received. </t>
  </si>
  <si>
    <t>$ 0.01-5,000</t>
  </si>
  <si>
    <t>$ 5,001 - 10,000</t>
  </si>
  <si>
    <t>$ 10,001 - 15,000</t>
  </si>
  <si>
    <t>$ 15,001 - 20,000</t>
  </si>
  <si>
    <t>$ 20,001 - 25,000</t>
  </si>
  <si>
    <t>$ 25,001 - 30,000</t>
  </si>
  <si>
    <t>$ 30,001 - 35,000</t>
  </si>
  <si>
    <t>$ 35,001 - 40,000</t>
  </si>
  <si>
    <t>$ 40,001 - 45,000</t>
  </si>
  <si>
    <t>$ 45,001 - 50,000</t>
  </si>
  <si>
    <t>$ 50,001 - 55,000</t>
  </si>
  <si>
    <t>$ 55,001 - 60,000</t>
  </si>
  <si>
    <t>$ 60,001 - 65,000</t>
  </si>
  <si>
    <t>$ 65,001 - 70,000</t>
  </si>
  <si>
    <t>$ 70,001 - 75,000</t>
  </si>
  <si>
    <t>$ 75,001 - 80,000</t>
  </si>
  <si>
    <t>$ 80,001 - 85,000</t>
  </si>
  <si>
    <t>$ 85,001 - 90,000</t>
  </si>
  <si>
    <t>$ 90,001 - 95,000</t>
  </si>
  <si>
    <t>$ 95,001 - 100,000</t>
  </si>
  <si>
    <t>$ 100,001 - 105,000</t>
  </si>
  <si>
    <t>$ 105,001 - 110,000</t>
  </si>
  <si>
    <t>$ 110,001 - 115,000</t>
  </si>
  <si>
    <t>$ 115,001 - 120,000</t>
  </si>
  <si>
    <t>$ 120,001 - 125,000</t>
  </si>
  <si>
    <t>$ 125,001 - 130,000</t>
  </si>
  <si>
    <t>$ 130,001 - 135,000</t>
  </si>
  <si>
    <t>$ 135,001 - 140,000</t>
  </si>
  <si>
    <t>$ 140,001 - 145,000</t>
  </si>
  <si>
    <t>$ 145,001 - 150,000</t>
  </si>
  <si>
    <t>$ 150,001 - 155,000</t>
  </si>
  <si>
    <t>$ 155,001 - 160,000</t>
  </si>
  <si>
    <t>$ 160,001 - 165,000</t>
  </si>
  <si>
    <t>$ 165,001 - 170,000</t>
  </si>
  <si>
    <t>$ 170,001 - 175,000</t>
  </si>
  <si>
    <t>$ 175,001 - 180,000</t>
  </si>
  <si>
    <t>$ 180,000+</t>
  </si>
  <si>
    <t>Family income band*</t>
  </si>
  <si>
    <t>for families administered by Inland Revenue. The methodology used to count the number of children supported has been refined</t>
  </si>
  <si>
    <t>Distributional data on the number of children prior to 2020 is not available due to joint administration of Working for Families.  Prior to 2020 such data is only available</t>
  </si>
  <si>
    <t>The table contains information for families entitled to Working for Families tax credits paid by Inland Revenue or Work and Income. The table does not include information on families that were not entitled to Working for Families tax credits.</t>
  </si>
  <si>
    <t>All entitled families</t>
  </si>
  <si>
    <t>** Family income is unknown for families that have not filed a Working for Families return.</t>
  </si>
  <si>
    <t>Family Tax Credit (formerly Family Support)</t>
  </si>
  <si>
    <t>Child Tax Credit 
(former Independent Family Tax Credit)</t>
  </si>
  <si>
    <t>Income year</t>
  </si>
  <si>
    <t>Effective from</t>
  </si>
  <si>
    <t>Effective to</t>
  </si>
  <si>
    <t>FTC eldest 16-18</t>
  </si>
  <si>
    <t>FTC eldest 0-15</t>
  </si>
  <si>
    <t>FTC other 16-18</t>
  </si>
  <si>
    <t>FTC other 13-15</t>
  </si>
  <si>
    <t>FTC other 0-12</t>
  </si>
  <si>
    <t>IWTC up to 3 children</t>
  </si>
  <si>
    <t>IWTC 4th and subsequent child</t>
  </si>
  <si>
    <t>CTC each child</t>
  </si>
  <si>
    <t>MFTC after-tax income</t>
  </si>
  <si>
    <t>WFF abatement threshold</t>
  </si>
  <si>
    <t>WFF abatement rate</t>
  </si>
  <si>
    <t>1 Apr 2000</t>
  </si>
  <si>
    <t>31 Mar 2001</t>
  </si>
  <si>
    <t>18c up to $27,000; 30c over $27,000</t>
  </si>
  <si>
    <t>1 Apr 2001</t>
  </si>
  <si>
    <t>31 Mar 2002</t>
  </si>
  <si>
    <t>1 Apr 2002</t>
  </si>
  <si>
    <t>31 Mar 2003</t>
  </si>
  <si>
    <t>1 Apr 2003</t>
  </si>
  <si>
    <t>31 Mar 2004</t>
  </si>
  <si>
    <t>1 Apr 2004</t>
  </si>
  <si>
    <t>31 Mar 2005</t>
  </si>
  <si>
    <t>18c up to $27,481; 30c over $27,481</t>
  </si>
  <si>
    <t>1 Apr 2005</t>
  </si>
  <si>
    <t>31 Mar 2006</t>
  </si>
  <si>
    <t>1 Apr 2006</t>
  </si>
  <si>
    <t>31 Mar 2007</t>
  </si>
  <si>
    <t>20c over threshold</t>
  </si>
  <si>
    <t>1 Apr 2007</t>
  </si>
  <si>
    <t>31 Mar 2008</t>
  </si>
  <si>
    <t>1 Apr 2008</t>
  </si>
  <si>
    <t>31 Mar 2009</t>
  </si>
  <si>
    <t>1 Apr 2009</t>
  </si>
  <si>
    <t>31 Mar 2010</t>
  </si>
  <si>
    <t>1 Apr 2010</t>
  </si>
  <si>
    <t>31 Mar 2011</t>
  </si>
  <si>
    <t>1 Apr 2011</t>
  </si>
  <si>
    <t>31 Mar 2012</t>
  </si>
  <si>
    <t>1 Apr 2012</t>
  </si>
  <si>
    <t>31 Mar 2013</t>
  </si>
  <si>
    <t>1 Apr 2013</t>
  </si>
  <si>
    <t>31 Mar 2014</t>
  </si>
  <si>
    <t>21.25c over threshold</t>
  </si>
  <si>
    <t>1 Apr 2014</t>
  </si>
  <si>
    <t>31 Mar 2015</t>
  </si>
  <si>
    <t>1 Apr 2015</t>
  </si>
  <si>
    <t>31 Mar 2016</t>
  </si>
  <si>
    <t>1 Apr 2016</t>
  </si>
  <si>
    <t>31 Mar 2017</t>
  </si>
  <si>
    <t>22.5c over threshold</t>
  </si>
  <si>
    <t>1 Apr 2017</t>
  </si>
  <si>
    <t>31 Mar 2018</t>
  </si>
  <si>
    <t>1 Apr 2018</t>
  </si>
  <si>
    <t>30 Jun 2018</t>
  </si>
  <si>
    <t>FTC eldest child</t>
  </si>
  <si>
    <t>1 Jul 2018</t>
  </si>
  <si>
    <t>31 Mar 2019</t>
  </si>
  <si>
    <t>25c over threshold</t>
  </si>
  <si>
    <t>1 Apr 2019</t>
  </si>
  <si>
    <t>31 Mar 2020</t>
  </si>
  <si>
    <t>1 Apr 2020</t>
  </si>
  <si>
    <t>31 Mar 2021</t>
  </si>
  <si>
    <t>1 Apr 2021</t>
  </si>
  <si>
    <t>30 Jun 2021</t>
  </si>
  <si>
    <t>1 Jul 2021</t>
  </si>
  <si>
    <t>31 Mar 2022</t>
  </si>
  <si>
    <t>1 Apr 2022</t>
  </si>
  <si>
    <t>31 Mar 2023</t>
  </si>
  <si>
    <t>27c over threshold</t>
  </si>
  <si>
    <t>1 Apr 2023</t>
  </si>
  <si>
    <t>31 Mar 2024</t>
  </si>
  <si>
    <t>1 Apr 2024</t>
  </si>
  <si>
    <t>30 Jul 2024</t>
  </si>
  <si>
    <t>31 Jul 2024</t>
  </si>
  <si>
    <t>31 Mar 2025</t>
  </si>
  <si>
    <t>Parental Tax Credit</t>
  </si>
  <si>
    <t xml:space="preserve">Best Start Tax Credit </t>
  </si>
  <si>
    <t>Abatement</t>
  </si>
  <si>
    <t>Historical Working for Families (WFF) parameter settings</t>
  </si>
  <si>
    <t>30 Sep 2008</t>
  </si>
  <si>
    <t>1 Oct 2008</t>
  </si>
  <si>
    <t>30 Sep 2010</t>
  </si>
  <si>
    <t>1 Oct 2010</t>
  </si>
  <si>
    <t>Minimum Family Tax Cerdit</t>
  </si>
  <si>
    <t>FTC subsequent child</t>
  </si>
  <si>
    <t>Number children per family (count of families 000s)</t>
  </si>
  <si>
    <t>Total number of children (000s)</t>
  </si>
  <si>
    <t>In-Work Tax Credit (formerly  In Work Payment)</t>
  </si>
  <si>
    <t xml:space="preserve">This tab provides historical Working for Families (WFF) parameter settings from the 2001 to 2025 tax years, including tax credit rates, Minimum Family Tax Credit thresholds, and WFF abatement settings. </t>
  </si>
  <si>
    <t>Where parameters changed during a tax year, separate rows are shown for each effective period. Amounts are annual unless otherwise stated.</t>
  </si>
  <si>
    <t>Working for Families tax credits - number of WFF claims with non-zero entitlement (000s)</t>
  </si>
  <si>
    <t>Working for Families tax credits - average individual tax credit entitlement per family ($)</t>
  </si>
  <si>
    <t>Working for Families Tax Credits - aggregate entitlements ($million)</t>
  </si>
  <si>
    <r>
      <t>FTC</t>
    </r>
    <r>
      <rPr>
        <sz val="10"/>
        <rFont val="Verdana"/>
        <family val="2"/>
      </rPr>
      <t xml:space="preserve"> (average per receiving family)</t>
    </r>
  </si>
  <si>
    <r>
      <t>CTC</t>
    </r>
    <r>
      <rPr>
        <sz val="10"/>
        <rFont val="Verdana"/>
        <family val="2"/>
      </rPr>
      <t xml:space="preserve"> (average per receiving family)</t>
    </r>
  </si>
  <si>
    <r>
      <t>MFTC</t>
    </r>
    <r>
      <rPr>
        <sz val="10"/>
        <rFont val="Verdana"/>
        <family val="2"/>
      </rPr>
      <t xml:space="preserve"> (average per receiving family)</t>
    </r>
  </si>
  <si>
    <r>
      <t>PTC</t>
    </r>
    <r>
      <rPr>
        <sz val="10"/>
        <rFont val="Verdana"/>
        <family val="2"/>
      </rPr>
      <t xml:space="preserve"> (average per receiving family)</t>
    </r>
  </si>
  <si>
    <r>
      <t xml:space="preserve">IWTC  </t>
    </r>
    <r>
      <rPr>
        <sz val="10"/>
        <rFont val="Verdana"/>
        <family val="2"/>
      </rPr>
      <t>(average per receiving family)</t>
    </r>
  </si>
  <si>
    <r>
      <t xml:space="preserve">BSTC </t>
    </r>
    <r>
      <rPr>
        <sz val="10"/>
        <rFont val="Verdana"/>
        <family val="2"/>
      </rPr>
      <t>(average per receiving family)</t>
    </r>
  </si>
  <si>
    <r>
      <t xml:space="preserve">Average  </t>
    </r>
    <r>
      <rPr>
        <sz val="10"/>
        <rFont val="Verdana"/>
        <family val="2"/>
      </rPr>
      <t>(per receiving family)</t>
    </r>
  </si>
  <si>
    <t xml:space="preserve">Number of families receiving WFF </t>
  </si>
  <si>
    <t>Number of families receiving FTC</t>
  </si>
  <si>
    <t>Number of families receiving IWTC</t>
  </si>
  <si>
    <t>Number of families receiving BSTC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</si>
</sst>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6" formatCode="&quot;$&quot;#,##0;[Red]\-&quot;$&quot;#,##0"/>
    <numFmt numFmtId="44" formatCode="_-&quot;$&quot;* #,##0.00_-;\-&quot;$&quot;* #,##0.00_-;_-&quot;$&quot;* &quot;-&quot;??_-;_-@_-"/>
    <numFmt numFmtId="43" formatCode="_-* #,##0.00_-;\-* #,##0.00_-;_-* &quot;-&quot;??_-;_-@_-"/>
    <numFmt numFmtId="164" formatCode="0.0"/>
    <numFmt numFmtId="165" formatCode="0.0%"/>
    <numFmt numFmtId="166" formatCode="yyyy"/>
    <numFmt numFmtId="167" formatCode="#,##0_ ;\-#,##0\ "/>
    <numFmt numFmtId="168" formatCode="#,##0.0_ ;\-#,##0.0\ "/>
    <numFmt numFmtId="169" formatCode="_-* #,##0_-;\-* #,##0_-;_-* &quot;-&quot;??_-;_-@_-"/>
    <numFmt numFmtId="170" formatCode="#,##0.0"/>
    <numFmt numFmtId="171" formatCode="_-&quot;$&quot;* #,##0_-;\-&quot;$&quot;* #,##0_-;_-&quot;$&quot;* &quot;-&quot;??_-;_-@_-"/>
    <numFmt numFmtId="172" formatCode="\$#,##0"/>
  </numFmts>
  <fonts count="21">
    <font>
      <sz val="11"/>
      <color theme="1"/>
      <name val="Calibri"/>
      <family val="2"/>
      <scheme val="minor"/>
    </font>
    <font>
      <sz val="11"/>
      <color theme="1"/>
      <name val="Calibri"/>
      <family val="2"/>
      <scheme val="minor"/>
    </font>
    <font>
      <b/>
      <sz val="12"/>
      <name val="Verdana"/>
      <family val="2"/>
    </font>
    <font>
      <b/>
      <sz val="11"/>
      <color theme="1"/>
      <name val="Calibri"/>
      <family val="2"/>
      <scheme val="minor"/>
    </font>
    <font>
      <sz val="11"/>
      <color rgb="FF000000"/>
      <name val="Calibri"/>
      <family val="2"/>
      <scheme val="minor"/>
    </font>
    <font>
      <sz val="11"/>
      <color rgb="FFFF0000"/>
      <name val="Calibri"/>
      <family val="2"/>
      <scheme val="minor"/>
    </font>
    <font>
      <b/>
      <sz val="11"/>
      <color rgb="FF000000"/>
      <name val="Calibri"/>
      <family val="2"/>
      <scheme val="minor"/>
    </font>
    <font>
      <b/>
      <sz val="14"/>
      <name val="Calibri body"/>
    </font>
    <font>
      <sz val="11"/>
      <color theme="1"/>
      <name val="Calibri"/>
      <family val="2"/>
    </font>
    <font>
      <b/>
      <sz val="11"/>
      <color rgb="FF000000"/>
      <name val="Calibri"/>
      <family val="2"/>
    </font>
    <font>
      <sz val="11"/>
      <color rgb="FF70AD47"/>
      <name val="Calibri"/>
      <family val="2"/>
    </font>
    <font>
      <sz val="10"/>
      <color rgb="FF70AD47"/>
      <name val="Verdana"/>
      <family val="2"/>
    </font>
    <font>
      <b/>
      <sz val="10"/>
      <color theme="1"/>
      <name val="Verdana"/>
      <family val="2"/>
    </font>
    <font>
      <b/>
      <sz val="10"/>
      <name val="Verdana"/>
      <family val="2"/>
    </font>
    <font>
      <sz val="10"/>
      <color theme="1"/>
      <name val="Verdana"/>
      <family val="2"/>
    </font>
    <font>
      <u/>
      <sz val="10"/>
      <color theme="1"/>
      <name val="Verdana"/>
      <family val="2"/>
    </font>
    <font>
      <sz val="10"/>
      <name val="Verdana"/>
      <family val="2"/>
    </font>
    <font>
      <i/>
      <sz val="10"/>
      <color theme="1"/>
      <name val="Verdana"/>
      <family val="2"/>
    </font>
    <font>
      <i/>
      <sz val="10"/>
      <name val="Verdana"/>
      <family val="2"/>
    </font>
    <font>
      <sz val="10"/>
      <color theme="9"/>
      <name val="Verdana"/>
      <family val="2"/>
    </font>
    <font>
      <sz val="12"/>
      <color theme="1"/>
      <name val="Verdana"/>
      <family val="2"/>
    </font>
  </fonts>
  <fills count="4">
    <fill>
      <patternFill patternType="none"/>
    </fill>
    <fill>
      <patternFill patternType="gray125"/>
    </fill>
    <fill>
      <patternFill patternType="solid">
        <fgColor theme="0"/>
        <bgColor indexed="64"/>
      </patternFill>
    </fill>
    <fill>
      <patternFill patternType="solid">
        <fgColor rgb="FFFFFFFF"/>
        <bgColor rgb="FF000000"/>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bottom style="thin">
        <color indexed="64"/>
      </bottom>
      <diagonal/>
    </border>
    <border>
      <left/>
      <right/>
      <top/>
      <bottom style="thin">
        <color rgb="FFD9D9D9"/>
      </bottom>
      <diagonal/>
    </border>
  </borders>
  <cellStyleXfs count="4">
    <xf numFmtId="0" fontId="0" fillId="0" borderId="0"/>
    <xf numFmtId="43" fontId="1" fillId="0" borderId="0" applyFont="0" applyFill="0" applyBorder="0" applyAlignment="0" applyProtection="0"/>
    <xf numFmtId="9" fontId="1" fillId="0" borderId="0" applyFont="0" applyFill="0" applyBorder="0" applyAlignment="0" applyProtection="0"/>
    <xf numFmtId="44" fontId="1" fillId="0" borderId="0" applyFont="0" applyFill="0" applyBorder="0" applyAlignment="0" applyProtection="0"/>
  </cellStyleXfs>
  <cellXfs count="142">
    <xf numFmtId="0" fontId="0" fillId="0" borderId="0" xfId="0"/>
    <xf numFmtId="0" fontId="0" fillId="2" borderId="0" xfId="0" applyFill="1"/>
    <xf numFmtId="0" fontId="0" fillId="2" borderId="0" xfId="0" applyFill="1" applyAlignment="1">
      <alignment horizontal="left"/>
    </xf>
    <xf numFmtId="0" fontId="3" fillId="2" borderId="0" xfId="0" applyFont="1" applyFill="1"/>
    <xf numFmtId="0" fontId="6" fillId="2" borderId="2" xfId="0" applyFont="1" applyFill="1" applyBorder="1" applyAlignment="1">
      <alignment horizontal="left" vertical="top" wrapText="1"/>
    </xf>
    <xf numFmtId="0" fontId="6" fillId="2" borderId="3" xfId="0" applyFont="1" applyFill="1" applyBorder="1" applyAlignment="1">
      <alignment horizontal="center" vertical="top" wrapText="1"/>
    </xf>
    <xf numFmtId="0" fontId="6" fillId="2" borderId="7" xfId="0" applyFont="1" applyFill="1" applyBorder="1" applyAlignment="1">
      <alignment horizontal="left" vertical="top" wrapText="1"/>
    </xf>
    <xf numFmtId="0" fontId="6" fillId="2" borderId="7" xfId="0" applyFont="1" applyFill="1" applyBorder="1" applyAlignment="1">
      <alignment horizontal="center" vertical="top" wrapText="1"/>
    </xf>
    <xf numFmtId="0" fontId="4" fillId="2" borderId="16" xfId="0" applyFont="1" applyFill="1" applyBorder="1" applyAlignment="1">
      <alignment horizontal="left" vertical="top" wrapText="1"/>
    </xf>
    <xf numFmtId="0" fontId="4" fillId="2" borderId="16" xfId="0" applyFont="1" applyFill="1" applyBorder="1" applyAlignment="1">
      <alignment vertical="top" wrapText="1"/>
    </xf>
    <xf numFmtId="172" fontId="4" fillId="2" borderId="16" xfId="0" applyNumberFormat="1" applyFont="1" applyFill="1" applyBorder="1" applyAlignment="1">
      <alignment vertical="top" wrapText="1"/>
    </xf>
    <xf numFmtId="6" fontId="4" fillId="2" borderId="16" xfId="0" applyNumberFormat="1" applyFont="1" applyFill="1" applyBorder="1" applyAlignment="1">
      <alignment vertical="top" wrapText="1"/>
    </xf>
    <xf numFmtId="172" fontId="6" fillId="2" borderId="16" xfId="0" applyNumberFormat="1" applyFont="1" applyFill="1" applyBorder="1" applyAlignment="1">
      <alignment vertical="top"/>
    </xf>
    <xf numFmtId="0" fontId="4" fillId="2" borderId="0" xfId="0" applyFont="1" applyFill="1" applyAlignment="1">
      <alignment horizontal="left" vertical="top" wrapText="1"/>
    </xf>
    <xf numFmtId="0" fontId="4" fillId="2" borderId="0" xfId="0" applyFont="1" applyFill="1" applyAlignment="1">
      <alignment vertical="top" wrapText="1"/>
    </xf>
    <xf numFmtId="172" fontId="4" fillId="2" borderId="0" xfId="0" applyNumberFormat="1" applyFont="1" applyFill="1" applyAlignment="1">
      <alignment vertical="top" wrapText="1"/>
    </xf>
    <xf numFmtId="6" fontId="4" fillId="2" borderId="0" xfId="0" applyNumberFormat="1" applyFont="1" applyFill="1" applyAlignment="1">
      <alignment vertical="top" wrapText="1"/>
    </xf>
    <xf numFmtId="166" fontId="7" fillId="2" borderId="0" xfId="0" applyNumberFormat="1" applyFont="1" applyFill="1" applyAlignment="1">
      <alignment horizontal="left" vertical="center"/>
    </xf>
    <xf numFmtId="0" fontId="4" fillId="2" borderId="0" xfId="0" applyFont="1" applyFill="1"/>
    <xf numFmtId="0" fontId="5" fillId="2" borderId="0" xfId="0" applyFont="1" applyFill="1"/>
    <xf numFmtId="172" fontId="4" fillId="0" borderId="0" xfId="0" applyNumberFormat="1" applyFont="1" applyAlignment="1">
      <alignment vertical="top" wrapText="1"/>
    </xf>
    <xf numFmtId="0" fontId="6" fillId="0" borderId="3" xfId="0" applyFont="1" applyBorder="1" applyAlignment="1">
      <alignment horizontal="center" vertical="top" wrapText="1"/>
    </xf>
    <xf numFmtId="0" fontId="8" fillId="3" borderId="0" xfId="0" applyFont="1" applyFill="1"/>
    <xf numFmtId="166" fontId="7" fillId="3" borderId="0" xfId="0" applyNumberFormat="1" applyFont="1" applyFill="1" applyAlignment="1">
      <alignment horizontal="left"/>
    </xf>
    <xf numFmtId="166" fontId="2" fillId="3" borderId="0" xfId="0" applyNumberFormat="1" applyFont="1" applyFill="1" applyAlignment="1">
      <alignment horizontal="left"/>
    </xf>
    <xf numFmtId="0" fontId="8" fillId="3" borderId="0" xfId="0" applyFont="1" applyFill="1" applyAlignment="1">
      <alignment horizontal="left"/>
    </xf>
    <xf numFmtId="0" fontId="9" fillId="3" borderId="0" xfId="0" applyFont="1" applyFill="1"/>
    <xf numFmtId="0" fontId="9" fillId="3" borderId="3" xfId="0" applyFont="1" applyFill="1" applyBorder="1" applyAlignment="1">
      <alignment horizontal="right" wrapText="1"/>
    </xf>
    <xf numFmtId="0" fontId="9" fillId="3" borderId="4" xfId="0" applyFont="1" applyFill="1" applyBorder="1" applyAlignment="1">
      <alignment horizontal="right" wrapText="1"/>
    </xf>
    <xf numFmtId="0" fontId="9" fillId="3" borderId="12" xfId="0" applyFont="1" applyFill="1" applyBorder="1" applyAlignment="1">
      <alignment horizontal="right" wrapText="1"/>
    </xf>
    <xf numFmtId="0" fontId="9" fillId="3" borderId="13" xfId="0" applyFont="1" applyFill="1" applyBorder="1" applyAlignment="1">
      <alignment horizontal="right" wrapText="1"/>
    </xf>
    <xf numFmtId="171" fontId="8" fillId="3" borderId="11" xfId="3" applyNumberFormat="1" applyFont="1" applyFill="1" applyBorder="1" applyAlignment="1">
      <alignment horizontal="left"/>
    </xf>
    <xf numFmtId="170" fontId="8" fillId="3" borderId="12" xfId="0" applyNumberFormat="1" applyFont="1" applyFill="1" applyBorder="1"/>
    <xf numFmtId="170" fontId="8" fillId="3" borderId="13" xfId="0" applyNumberFormat="1" applyFont="1" applyFill="1" applyBorder="1"/>
    <xf numFmtId="3" fontId="8" fillId="3" borderId="12" xfId="0" applyNumberFormat="1" applyFont="1" applyFill="1" applyBorder="1"/>
    <xf numFmtId="3" fontId="8" fillId="3" borderId="13" xfId="0" applyNumberFormat="1" applyFont="1" applyFill="1" applyBorder="1"/>
    <xf numFmtId="3" fontId="8" fillId="3" borderId="0" xfId="0" applyNumberFormat="1" applyFont="1" applyFill="1"/>
    <xf numFmtId="171" fontId="8" fillId="3" borderId="9" xfId="3" applyNumberFormat="1" applyFont="1" applyFill="1" applyBorder="1" applyAlignment="1">
      <alignment horizontal="left"/>
    </xf>
    <xf numFmtId="170" fontId="8" fillId="3" borderId="0" xfId="0" applyNumberFormat="1" applyFont="1" applyFill="1"/>
    <xf numFmtId="170" fontId="8" fillId="3" borderId="6" xfId="0" applyNumberFormat="1" applyFont="1" applyFill="1" applyBorder="1"/>
    <xf numFmtId="3" fontId="8" fillId="3" borderId="6" xfId="0" applyNumberFormat="1" applyFont="1" applyFill="1" applyBorder="1"/>
    <xf numFmtId="169" fontId="8" fillId="3" borderId="10" xfId="1" applyNumberFormat="1" applyFont="1" applyFill="1" applyBorder="1" applyAlignment="1">
      <alignment horizontal="left"/>
    </xf>
    <xf numFmtId="170" fontId="8" fillId="3" borderId="0" xfId="0" applyNumberFormat="1" applyFont="1" applyFill="1" applyAlignment="1">
      <alignment horizontal="right"/>
    </xf>
    <xf numFmtId="170" fontId="8" fillId="3" borderId="6" xfId="0" applyNumberFormat="1" applyFont="1" applyFill="1" applyBorder="1" applyAlignment="1">
      <alignment horizontal="right"/>
    </xf>
    <xf numFmtId="3" fontId="8" fillId="3" borderId="0" xfId="0" applyNumberFormat="1" applyFont="1" applyFill="1" applyAlignment="1">
      <alignment horizontal="right"/>
    </xf>
    <xf numFmtId="3" fontId="8" fillId="3" borderId="6" xfId="0" applyNumberFormat="1" applyFont="1" applyFill="1" applyBorder="1" applyAlignment="1">
      <alignment horizontal="right"/>
    </xf>
    <xf numFmtId="170" fontId="8" fillId="3" borderId="7" xfId="0" applyNumberFormat="1" applyFont="1" applyFill="1" applyBorder="1" applyAlignment="1">
      <alignment horizontal="right"/>
    </xf>
    <xf numFmtId="170" fontId="8" fillId="3" borderId="8" xfId="0" applyNumberFormat="1" applyFont="1" applyFill="1" applyBorder="1" applyAlignment="1">
      <alignment horizontal="right"/>
    </xf>
    <xf numFmtId="3" fontId="8" fillId="3" borderId="7" xfId="0" applyNumberFormat="1" applyFont="1" applyFill="1" applyBorder="1" applyAlignment="1">
      <alignment horizontal="right"/>
    </xf>
    <xf numFmtId="3" fontId="8" fillId="3" borderId="8" xfId="0" applyNumberFormat="1" applyFont="1" applyFill="1" applyBorder="1" applyAlignment="1">
      <alignment horizontal="right"/>
    </xf>
    <xf numFmtId="0" fontId="8" fillId="3" borderId="0" xfId="0" applyFont="1" applyFill="1" applyAlignment="1">
      <alignment horizontal="right"/>
    </xf>
    <xf numFmtId="169" fontId="8" fillId="3" borderId="1" xfId="1" applyNumberFormat="1" applyFont="1" applyFill="1" applyBorder="1" applyAlignment="1">
      <alignment horizontal="left"/>
    </xf>
    <xf numFmtId="170" fontId="8" fillId="3" borderId="3" xfId="0" applyNumberFormat="1" applyFont="1" applyFill="1" applyBorder="1" applyAlignment="1">
      <alignment horizontal="right"/>
    </xf>
    <xf numFmtId="170" fontId="8" fillId="3" borderId="4" xfId="0" applyNumberFormat="1" applyFont="1" applyFill="1" applyBorder="1" applyAlignment="1">
      <alignment horizontal="right"/>
    </xf>
    <xf numFmtId="3" fontId="8" fillId="3" borderId="3" xfId="0" applyNumberFormat="1" applyFont="1" applyFill="1" applyBorder="1" applyAlignment="1">
      <alignment horizontal="right"/>
    </xf>
    <xf numFmtId="3" fontId="8" fillId="3" borderId="4" xfId="0" applyNumberFormat="1" applyFont="1" applyFill="1" applyBorder="1" applyAlignment="1">
      <alignment horizontal="right"/>
    </xf>
    <xf numFmtId="0" fontId="8" fillId="3" borderId="1" xfId="0" applyFont="1" applyFill="1" applyBorder="1" applyAlignment="1">
      <alignment horizontal="left"/>
    </xf>
    <xf numFmtId="3" fontId="8" fillId="3" borderId="9" xfId="0" applyNumberFormat="1" applyFont="1" applyFill="1" applyBorder="1" applyAlignment="1">
      <alignment horizontal="right"/>
    </xf>
    <xf numFmtId="0" fontId="8" fillId="3" borderId="0" xfId="0" quotePrefix="1" applyFont="1" applyFill="1"/>
    <xf numFmtId="0" fontId="10" fillId="3" borderId="0" xfId="0" applyFont="1" applyFill="1"/>
    <xf numFmtId="170" fontId="10" fillId="3" borderId="0" xfId="0" applyNumberFormat="1" applyFont="1" applyFill="1"/>
    <xf numFmtId="3" fontId="11" fillId="3" borderId="0" xfId="0" applyNumberFormat="1" applyFont="1" applyFill="1" applyAlignment="1">
      <alignment horizontal="right"/>
    </xf>
    <xf numFmtId="166" fontId="12" fillId="2" borderId="2" xfId="0" applyNumberFormat="1" applyFont="1" applyFill="1" applyBorder="1" applyAlignment="1">
      <alignment horizontal="left"/>
    </xf>
    <xf numFmtId="0" fontId="13" fillId="2" borderId="2" xfId="0" applyFont="1" applyFill="1" applyBorder="1" applyAlignment="1">
      <alignment horizontal="center"/>
    </xf>
    <xf numFmtId="0" fontId="13" fillId="2" borderId="3" xfId="0" applyFont="1" applyFill="1" applyBorder="1" applyAlignment="1">
      <alignment horizontal="center"/>
    </xf>
    <xf numFmtId="0" fontId="13" fillId="2" borderId="3" xfId="0" applyFont="1" applyFill="1" applyBorder="1" applyAlignment="1">
      <alignment horizontal="center" wrapText="1"/>
    </xf>
    <xf numFmtId="0" fontId="12" fillId="2" borderId="4" xfId="0" applyFont="1" applyFill="1" applyBorder="1" applyAlignment="1">
      <alignment horizontal="center" wrapText="1"/>
    </xf>
    <xf numFmtId="0" fontId="14" fillId="2" borderId="0" xfId="0" applyFont="1" applyFill="1"/>
    <xf numFmtId="166" fontId="14" fillId="2" borderId="11" xfId="0" applyNumberFormat="1" applyFont="1" applyFill="1" applyBorder="1" applyAlignment="1">
      <alignment horizontal="left"/>
    </xf>
    <xf numFmtId="164" fontId="14" fillId="2" borderId="12" xfId="0" applyNumberFormat="1" applyFont="1" applyFill="1" applyBorder="1" applyAlignment="1">
      <alignment horizontal="center"/>
    </xf>
    <xf numFmtId="3" fontId="14" fillId="2" borderId="12" xfId="1" quotePrefix="1" applyNumberFormat="1" applyFont="1" applyFill="1" applyBorder="1" applyAlignment="1">
      <alignment horizontal="center"/>
    </xf>
    <xf numFmtId="0" fontId="14" fillId="2" borderId="13" xfId="0" applyFont="1" applyFill="1" applyBorder="1" applyAlignment="1">
      <alignment horizontal="center"/>
    </xf>
    <xf numFmtId="166" fontId="14" fillId="2" borderId="9" xfId="0" applyNumberFormat="1" applyFont="1" applyFill="1" applyBorder="1" applyAlignment="1">
      <alignment horizontal="left"/>
    </xf>
    <xf numFmtId="164" fontId="14" fillId="2" borderId="0" xfId="0" applyNumberFormat="1" applyFont="1" applyFill="1" applyAlignment="1">
      <alignment horizontal="center"/>
    </xf>
    <xf numFmtId="3" fontId="14" fillId="2" borderId="0" xfId="1" quotePrefix="1" applyNumberFormat="1" applyFont="1" applyFill="1" applyBorder="1" applyAlignment="1">
      <alignment horizontal="center"/>
    </xf>
    <xf numFmtId="165" fontId="14" fillId="2" borderId="6" xfId="2" applyNumberFormat="1" applyFont="1" applyFill="1" applyBorder="1" applyAlignment="1">
      <alignment horizontal="center"/>
    </xf>
    <xf numFmtId="164" fontId="14" fillId="2" borderId="0" xfId="0" applyNumberFormat="1" applyFont="1" applyFill="1"/>
    <xf numFmtId="0" fontId="15" fillId="2" borderId="0" xfId="0" applyFont="1" applyFill="1"/>
    <xf numFmtId="165" fontId="14" fillId="2" borderId="0" xfId="2" applyNumberFormat="1" applyFont="1" applyFill="1"/>
    <xf numFmtId="164" fontId="16" fillId="2" borderId="0" xfId="0" applyNumberFormat="1" applyFont="1" applyFill="1"/>
    <xf numFmtId="2" fontId="14" fillId="2" borderId="0" xfId="2" applyNumberFormat="1" applyFont="1" applyFill="1"/>
    <xf numFmtId="166" fontId="14" fillId="2" borderId="10" xfId="0" applyNumberFormat="1" applyFont="1" applyFill="1" applyBorder="1" applyAlignment="1">
      <alignment horizontal="left"/>
    </xf>
    <xf numFmtId="164" fontId="14" fillId="2" borderId="7" xfId="0" applyNumberFormat="1" applyFont="1" applyFill="1" applyBorder="1" applyAlignment="1">
      <alignment horizontal="center"/>
    </xf>
    <xf numFmtId="3" fontId="14" fillId="2" borderId="7" xfId="1" quotePrefix="1" applyNumberFormat="1" applyFont="1" applyFill="1" applyBorder="1" applyAlignment="1">
      <alignment horizontal="center"/>
    </xf>
    <xf numFmtId="165" fontId="14" fillId="2" borderId="8" xfId="2" applyNumberFormat="1" applyFont="1" applyFill="1" applyBorder="1" applyAlignment="1">
      <alignment horizontal="center"/>
    </xf>
    <xf numFmtId="166" fontId="17" fillId="2" borderId="0" xfId="0" applyNumberFormat="1" applyFont="1" applyFill="1" applyAlignment="1">
      <alignment horizontal="left"/>
    </xf>
    <xf numFmtId="164" fontId="17" fillId="2" borderId="0" xfId="0" applyNumberFormat="1" applyFont="1" applyFill="1" applyAlignment="1">
      <alignment horizontal="center"/>
    </xf>
    <xf numFmtId="0" fontId="17" fillId="2" borderId="0" xfId="0" applyFont="1" applyFill="1"/>
    <xf numFmtId="3" fontId="17" fillId="2" borderId="0" xfId="1" quotePrefix="1" applyNumberFormat="1" applyFont="1" applyFill="1" applyBorder="1" applyAlignment="1">
      <alignment horizontal="center"/>
    </xf>
    <xf numFmtId="165" fontId="17" fillId="2" borderId="0" xfId="2" applyNumberFormat="1" applyFont="1" applyFill="1" applyBorder="1" applyAlignment="1">
      <alignment horizontal="center"/>
    </xf>
    <xf numFmtId="164" fontId="18" fillId="2" borderId="0" xfId="0" applyNumberFormat="1" applyFont="1" applyFill="1"/>
    <xf numFmtId="166" fontId="14" fillId="2" borderId="0" xfId="0" applyNumberFormat="1" applyFont="1" applyFill="1" applyAlignment="1">
      <alignment horizontal="left"/>
    </xf>
    <xf numFmtId="9" fontId="14" fillId="2" borderId="0" xfId="2" applyFont="1" applyFill="1" applyBorder="1"/>
    <xf numFmtId="166" fontId="12" fillId="2" borderId="1" xfId="0" applyNumberFormat="1" applyFont="1" applyFill="1" applyBorder="1" applyAlignment="1">
      <alignment horizontal="left"/>
    </xf>
    <xf numFmtId="3" fontId="14" fillId="2" borderId="5" xfId="0" applyNumberFormat="1" applyFont="1" applyFill="1" applyBorder="1" applyAlignment="1">
      <alignment horizontal="center"/>
    </xf>
    <xf numFmtId="3" fontId="14" fillId="2" borderId="0" xfId="0" applyNumberFormat="1" applyFont="1" applyFill="1" applyAlignment="1">
      <alignment horizontal="center"/>
    </xf>
    <xf numFmtId="0" fontId="14" fillId="2" borderId="6" xfId="0" applyFont="1" applyFill="1" applyBorder="1" applyAlignment="1">
      <alignment horizontal="center"/>
    </xf>
    <xf numFmtId="167" fontId="14" fillId="2" borderId="0" xfId="1" applyNumberFormat="1" applyFont="1" applyFill="1" applyBorder="1" applyAlignment="1">
      <alignment horizontal="center"/>
    </xf>
    <xf numFmtId="167" fontId="14" fillId="2" borderId="0" xfId="1" quotePrefix="1" applyNumberFormat="1" applyFont="1" applyFill="1" applyBorder="1" applyAlignment="1">
      <alignment horizontal="center"/>
    </xf>
    <xf numFmtId="3" fontId="14" fillId="2" borderId="0" xfId="0" applyNumberFormat="1" applyFont="1" applyFill="1"/>
    <xf numFmtId="167" fontId="14" fillId="2" borderId="7" xfId="1" applyNumberFormat="1" applyFont="1" applyFill="1" applyBorder="1" applyAlignment="1">
      <alignment horizontal="center"/>
    </xf>
    <xf numFmtId="167" fontId="14" fillId="2" borderId="7" xfId="1" quotePrefix="1" applyNumberFormat="1" applyFont="1" applyFill="1" applyBorder="1" applyAlignment="1">
      <alignment horizontal="center"/>
    </xf>
    <xf numFmtId="165" fontId="16" fillId="2" borderId="0" xfId="2" applyNumberFormat="1" applyFont="1" applyFill="1"/>
    <xf numFmtId="165" fontId="14" fillId="2" borderId="0" xfId="2" applyNumberFormat="1" applyFont="1" applyFill="1" applyBorder="1" applyAlignment="1">
      <alignment horizontal="center"/>
    </xf>
    <xf numFmtId="3" fontId="14" fillId="2" borderId="15" xfId="0" applyNumberFormat="1" applyFont="1" applyFill="1" applyBorder="1" applyAlignment="1">
      <alignment horizontal="center"/>
    </xf>
    <xf numFmtId="3" fontId="14" fillId="2" borderId="7" xfId="0" applyNumberFormat="1" applyFont="1" applyFill="1" applyBorder="1" applyAlignment="1">
      <alignment horizontal="center"/>
    </xf>
    <xf numFmtId="167" fontId="14" fillId="2" borderId="0" xfId="0" applyNumberFormat="1" applyFont="1" applyFill="1"/>
    <xf numFmtId="0" fontId="13" fillId="2" borderId="15" xfId="0" applyFont="1" applyFill="1" applyBorder="1" applyAlignment="1">
      <alignment horizontal="center"/>
    </xf>
    <xf numFmtId="0" fontId="13" fillId="2" borderId="7" xfId="0" applyFont="1" applyFill="1" applyBorder="1" applyAlignment="1">
      <alignment horizontal="center"/>
    </xf>
    <xf numFmtId="0" fontId="13" fillId="2" borderId="8" xfId="0" applyFont="1" applyFill="1" applyBorder="1" applyAlignment="1">
      <alignment horizontal="center"/>
    </xf>
    <xf numFmtId="166" fontId="12" fillId="2" borderId="11" xfId="0" applyNumberFormat="1" applyFont="1" applyFill="1" applyBorder="1" applyAlignment="1">
      <alignment horizontal="left"/>
    </xf>
    <xf numFmtId="0" fontId="13" fillId="2" borderId="9" xfId="0" applyFont="1" applyFill="1" applyBorder="1" applyAlignment="1">
      <alignment horizontal="center"/>
    </xf>
    <xf numFmtId="0" fontId="13" fillId="2" borderId="14" xfId="0" applyFont="1" applyFill="1" applyBorder="1" applyAlignment="1">
      <alignment horizontal="center"/>
    </xf>
    <xf numFmtId="0" fontId="13" fillId="2" borderId="12" xfId="0" applyFont="1" applyFill="1" applyBorder="1" applyAlignment="1">
      <alignment horizontal="center"/>
    </xf>
    <xf numFmtId="0" fontId="12" fillId="2" borderId="13" xfId="0" applyFont="1" applyFill="1" applyBorder="1" applyAlignment="1">
      <alignment horizontal="center" wrapText="1"/>
    </xf>
    <xf numFmtId="168" fontId="14" fillId="2" borderId="9" xfId="1" applyNumberFormat="1" applyFont="1" applyFill="1" applyBorder="1" applyAlignment="1">
      <alignment horizontal="center"/>
    </xf>
    <xf numFmtId="168" fontId="14" fillId="2" borderId="5" xfId="1" applyNumberFormat="1" applyFont="1" applyFill="1" applyBorder="1" applyAlignment="1">
      <alignment horizontal="center"/>
    </xf>
    <xf numFmtId="168" fontId="14" fillId="2" borderId="0" xfId="1" applyNumberFormat="1" applyFont="1" applyFill="1" applyBorder="1" applyAlignment="1">
      <alignment horizontal="center"/>
    </xf>
    <xf numFmtId="168" fontId="14" fillId="2" borderId="0" xfId="1" quotePrefix="1" applyNumberFormat="1" applyFont="1" applyFill="1" applyBorder="1" applyAlignment="1">
      <alignment horizontal="center"/>
    </xf>
    <xf numFmtId="168" fontId="14" fillId="2" borderId="6" xfId="1" applyNumberFormat="1" applyFont="1" applyFill="1" applyBorder="1" applyAlignment="1">
      <alignment horizontal="center"/>
    </xf>
    <xf numFmtId="168" fontId="14" fillId="2" borderId="10" xfId="1" applyNumberFormat="1" applyFont="1" applyFill="1" applyBorder="1" applyAlignment="1">
      <alignment horizontal="center"/>
    </xf>
    <xf numFmtId="168" fontId="14" fillId="2" borderId="15" xfId="1" applyNumberFormat="1" applyFont="1" applyFill="1" applyBorder="1" applyAlignment="1">
      <alignment horizontal="center"/>
    </xf>
    <xf numFmtId="168" fontId="14" fillId="2" borderId="7" xfId="1" applyNumberFormat="1" applyFont="1" applyFill="1" applyBorder="1" applyAlignment="1">
      <alignment horizontal="center"/>
    </xf>
    <xf numFmtId="168" fontId="14" fillId="2" borderId="8" xfId="1" applyNumberFormat="1" applyFont="1" applyFill="1" applyBorder="1" applyAlignment="1">
      <alignment horizontal="center"/>
    </xf>
    <xf numFmtId="168" fontId="14" fillId="2" borderId="0" xfId="0" applyNumberFormat="1" applyFont="1" applyFill="1"/>
    <xf numFmtId="0" fontId="19" fillId="2" borderId="0" xfId="0" applyFont="1" applyFill="1"/>
    <xf numFmtId="166" fontId="2" fillId="2" borderId="0" xfId="0" applyNumberFormat="1" applyFont="1" applyFill="1" applyAlignment="1">
      <alignment horizontal="left"/>
    </xf>
    <xf numFmtId="0" fontId="20" fillId="2" borderId="0" xfId="0" applyFont="1" applyFill="1"/>
    <xf numFmtId="0" fontId="2" fillId="2" borderId="0" xfId="0" applyFont="1" applyFill="1" applyAlignment="1">
      <alignment horizontal="left"/>
    </xf>
    <xf numFmtId="0" fontId="8" fillId="3" borderId="0" xfId="0" applyFont="1" applyFill="1" applyAlignment="1">
      <alignment wrapText="1"/>
    </xf>
    <xf numFmtId="0" fontId="9" fillId="3" borderId="11" xfId="0" applyFont="1" applyFill="1" applyBorder="1" applyAlignment="1">
      <alignment horizontal="left" wrapText="1"/>
    </xf>
    <xf numFmtId="0" fontId="9" fillId="3" borderId="0" xfId="0" applyFont="1" applyFill="1" applyAlignment="1">
      <alignment horizontal="right" wrapText="1"/>
    </xf>
    <xf numFmtId="0" fontId="9" fillId="3" borderId="9" xfId="0" applyFont="1" applyFill="1" applyBorder="1" applyAlignment="1">
      <alignment horizontal="right" wrapText="1"/>
    </xf>
    <xf numFmtId="166" fontId="12" fillId="2" borderId="11" xfId="0" applyNumberFormat="1" applyFont="1" applyFill="1" applyBorder="1" applyAlignment="1">
      <alignment horizontal="center"/>
    </xf>
    <xf numFmtId="166" fontId="12" fillId="2" borderId="10" xfId="0" applyNumberFormat="1" applyFont="1" applyFill="1" applyBorder="1" applyAlignment="1">
      <alignment horizontal="center"/>
    </xf>
    <xf numFmtId="0" fontId="13" fillId="2" borderId="11" xfId="0" applyFont="1" applyFill="1" applyBorder="1" applyAlignment="1">
      <alignment horizontal="center" wrapText="1"/>
    </xf>
    <xf numFmtId="0" fontId="13" fillId="2" borderId="10" xfId="0" applyFont="1" applyFill="1" applyBorder="1" applyAlignment="1">
      <alignment horizontal="center" wrapText="1"/>
    </xf>
    <xf numFmtId="0" fontId="12" fillId="2" borderId="14" xfId="0" applyFont="1" applyFill="1" applyBorder="1" applyAlignment="1">
      <alignment horizontal="center"/>
    </xf>
    <xf numFmtId="0" fontId="12" fillId="2" borderId="12" xfId="0" applyFont="1" applyFill="1" applyBorder="1" applyAlignment="1">
      <alignment horizontal="center"/>
    </xf>
    <xf numFmtId="0" fontId="12" fillId="2" borderId="13" xfId="0" applyFont="1" applyFill="1" applyBorder="1" applyAlignment="1">
      <alignment horizontal="center"/>
    </xf>
    <xf numFmtId="0" fontId="6" fillId="2" borderId="3" xfId="0" applyFont="1" applyFill="1" applyBorder="1" applyAlignment="1">
      <alignment horizontal="center" vertical="top" wrapText="1"/>
    </xf>
    <xf numFmtId="0" fontId="6" fillId="2" borderId="4" xfId="0" applyFont="1" applyFill="1" applyBorder="1" applyAlignment="1">
      <alignment horizontal="center" vertical="top" wrapText="1"/>
    </xf>
  </cellXfs>
  <cellStyles count="4">
    <cellStyle name="Comma" xfId="1" builtinId="3"/>
    <cellStyle name="Currency" xfId="3" builtinId="4"/>
    <cellStyle name="Normal" xfId="0" builtinId="0"/>
    <cellStyle name="Percent" xfId="2" builtinId="5"/>
  </cellStyles>
  <dxfs count="21">
    <dxf>
      <font>
        <b val="0"/>
        <i val="0"/>
        <strike val="0"/>
        <condense val="0"/>
        <extend val="0"/>
        <outline val="0"/>
        <shadow val="0"/>
        <u val="none"/>
        <vertAlign val="baseline"/>
        <sz val="11"/>
        <color rgb="FF000000"/>
        <name val="Calibri"/>
        <family val="2"/>
        <scheme val="minor"/>
      </font>
      <fill>
        <patternFill>
          <fgColor indexed="64"/>
          <bgColor theme="0"/>
        </patternFill>
      </fill>
      <alignment horizontal="general" vertical="top" textRotation="0" wrapText="1" indent="0" justifyLastLine="0" shrinkToFit="0" readingOrder="0"/>
      <border diagonalUp="0" diagonalDown="0" outline="0">
        <left/>
        <right/>
        <top/>
        <bottom style="thin">
          <color rgb="FFD9D9D9"/>
        </bottom>
      </border>
    </dxf>
    <dxf>
      <font>
        <b val="0"/>
        <i val="0"/>
        <strike val="0"/>
        <condense val="0"/>
        <extend val="0"/>
        <outline val="0"/>
        <shadow val="0"/>
        <u val="none"/>
        <vertAlign val="baseline"/>
        <sz val="11"/>
        <color rgb="FF000000"/>
        <name val="Calibri"/>
        <family val="2"/>
        <scheme val="minor"/>
      </font>
      <numFmt numFmtId="172" formatCode="\$#,##0"/>
      <fill>
        <patternFill>
          <fgColor indexed="64"/>
          <bgColor theme="0"/>
        </patternFill>
      </fill>
      <alignment horizontal="general" vertical="top" textRotation="0" wrapText="1" indent="0" justifyLastLine="0" shrinkToFit="0" readingOrder="0"/>
      <border diagonalUp="0" diagonalDown="0" outline="0">
        <left/>
        <right/>
        <top/>
        <bottom style="thin">
          <color rgb="FFD9D9D9"/>
        </bottom>
      </border>
    </dxf>
    <dxf>
      <font>
        <b val="0"/>
        <i val="0"/>
        <strike val="0"/>
        <condense val="0"/>
        <extend val="0"/>
        <outline val="0"/>
        <shadow val="0"/>
        <u val="none"/>
        <vertAlign val="baseline"/>
        <sz val="11"/>
        <color rgb="FF000000"/>
        <name val="Calibri"/>
        <family val="2"/>
        <scheme val="minor"/>
      </font>
      <numFmt numFmtId="172" formatCode="\$#,##0"/>
      <fill>
        <patternFill>
          <fgColor indexed="64"/>
          <bgColor theme="0"/>
        </patternFill>
      </fill>
      <alignment horizontal="general" vertical="top" textRotation="0" wrapText="1" indent="0" justifyLastLine="0" shrinkToFit="0" readingOrder="0"/>
      <border diagonalUp="0" diagonalDown="0" outline="0">
        <left/>
        <right/>
        <top/>
        <bottom style="thin">
          <color rgb="FFD9D9D9"/>
        </bottom>
      </border>
    </dxf>
    <dxf>
      <font>
        <b val="0"/>
        <i val="0"/>
        <strike val="0"/>
        <condense val="0"/>
        <extend val="0"/>
        <outline val="0"/>
        <shadow val="0"/>
        <u val="none"/>
        <vertAlign val="baseline"/>
        <sz val="11"/>
        <color rgb="FF000000"/>
        <name val="Calibri"/>
        <family val="2"/>
        <scheme val="minor"/>
      </font>
      <numFmt numFmtId="10" formatCode="&quot;$&quot;#,##0;[Red]\-&quot;$&quot;#,##0"/>
      <fill>
        <patternFill>
          <fgColor indexed="64"/>
          <bgColor theme="0"/>
        </patternFill>
      </fill>
      <alignment horizontal="general" vertical="top" textRotation="0" wrapText="1" indent="0" justifyLastLine="0" shrinkToFit="0" readingOrder="0"/>
      <border diagonalUp="0" diagonalDown="0" outline="0">
        <left/>
        <right/>
        <top/>
        <bottom style="thin">
          <color rgb="FFD9D9D9"/>
        </bottom>
      </border>
    </dxf>
    <dxf>
      <font>
        <b val="0"/>
        <i val="0"/>
        <strike val="0"/>
        <condense val="0"/>
        <extend val="0"/>
        <outline val="0"/>
        <shadow val="0"/>
        <u val="none"/>
        <vertAlign val="baseline"/>
        <sz val="11"/>
        <color rgb="FF000000"/>
        <name val="Calibri"/>
        <family val="2"/>
        <scheme val="minor"/>
      </font>
      <fill>
        <patternFill>
          <fgColor indexed="64"/>
          <bgColor theme="0"/>
        </patternFill>
      </fill>
      <alignment horizontal="general" vertical="top" textRotation="0" wrapText="1" indent="0" justifyLastLine="0" shrinkToFit="0" readingOrder="0"/>
      <border diagonalUp="0" diagonalDown="0" outline="0">
        <left/>
        <right/>
        <top/>
        <bottom style="thin">
          <color rgb="FFD9D9D9"/>
        </bottom>
      </border>
    </dxf>
    <dxf>
      <font>
        <b val="0"/>
        <i val="0"/>
        <strike val="0"/>
        <condense val="0"/>
        <extend val="0"/>
        <outline val="0"/>
        <shadow val="0"/>
        <u val="none"/>
        <vertAlign val="baseline"/>
        <sz val="11"/>
        <color rgb="FF000000"/>
        <name val="Calibri"/>
        <family val="2"/>
        <scheme val="minor"/>
      </font>
      <numFmt numFmtId="172" formatCode="\$#,##0"/>
      <fill>
        <patternFill>
          <fgColor indexed="64"/>
          <bgColor theme="0"/>
        </patternFill>
      </fill>
      <alignment horizontal="general" vertical="top" textRotation="0" wrapText="1" indent="0" justifyLastLine="0" shrinkToFit="0" readingOrder="0"/>
      <border diagonalUp="0" diagonalDown="0" outline="0">
        <left/>
        <right/>
        <top/>
        <bottom style="thin">
          <color rgb="FFD9D9D9"/>
        </bottom>
      </border>
    </dxf>
    <dxf>
      <font>
        <b val="0"/>
        <i val="0"/>
        <strike val="0"/>
        <condense val="0"/>
        <extend val="0"/>
        <outline val="0"/>
        <shadow val="0"/>
        <u val="none"/>
        <vertAlign val="baseline"/>
        <sz val="11"/>
        <color rgb="FF000000"/>
        <name val="Calibri"/>
        <family val="2"/>
        <scheme val="minor"/>
      </font>
      <numFmt numFmtId="172" formatCode="\$#,##0"/>
      <fill>
        <patternFill>
          <fgColor indexed="64"/>
          <bgColor theme="0"/>
        </patternFill>
      </fill>
      <alignment horizontal="general" vertical="top" textRotation="0" wrapText="1" indent="0" justifyLastLine="0" shrinkToFit="0" readingOrder="0"/>
      <border diagonalUp="0" diagonalDown="0" outline="0">
        <left/>
        <right/>
        <top/>
        <bottom style="thin">
          <color rgb="FFD9D9D9"/>
        </bottom>
      </border>
    </dxf>
    <dxf>
      <font>
        <b val="0"/>
        <i val="0"/>
        <strike val="0"/>
        <condense val="0"/>
        <extend val="0"/>
        <outline val="0"/>
        <shadow val="0"/>
        <u val="none"/>
        <vertAlign val="baseline"/>
        <sz val="11"/>
        <color rgb="FF000000"/>
        <name val="Calibri"/>
        <family val="2"/>
        <scheme val="minor"/>
      </font>
      <numFmt numFmtId="172" formatCode="\$#,##0"/>
      <fill>
        <patternFill>
          <fgColor indexed="64"/>
          <bgColor theme="0"/>
        </patternFill>
      </fill>
      <alignment horizontal="general" vertical="top" textRotation="0" wrapText="1" indent="0" justifyLastLine="0" shrinkToFit="0" readingOrder="0"/>
      <border diagonalUp="0" diagonalDown="0" outline="0">
        <left/>
        <right/>
        <top/>
        <bottom style="thin">
          <color rgb="FFD9D9D9"/>
        </bottom>
      </border>
    </dxf>
    <dxf>
      <font>
        <b val="0"/>
        <i val="0"/>
        <strike val="0"/>
        <condense val="0"/>
        <extend val="0"/>
        <outline val="0"/>
        <shadow val="0"/>
        <u val="none"/>
        <vertAlign val="baseline"/>
        <sz val="11"/>
        <color rgb="FF000000"/>
        <name val="Calibri"/>
        <family val="2"/>
        <scheme val="minor"/>
      </font>
      <numFmt numFmtId="172" formatCode="\$#,##0"/>
      <fill>
        <patternFill>
          <fgColor indexed="64"/>
          <bgColor theme="0"/>
        </patternFill>
      </fill>
      <alignment horizontal="general" vertical="top" textRotation="0" wrapText="1" indent="0" justifyLastLine="0" shrinkToFit="0" readingOrder="0"/>
      <border diagonalUp="0" diagonalDown="0" outline="0">
        <left/>
        <right/>
        <top/>
        <bottom style="thin">
          <color rgb="FFD9D9D9"/>
        </bottom>
      </border>
    </dxf>
    <dxf>
      <font>
        <b val="0"/>
        <i val="0"/>
        <strike val="0"/>
        <condense val="0"/>
        <extend val="0"/>
        <outline val="0"/>
        <shadow val="0"/>
        <u val="none"/>
        <vertAlign val="baseline"/>
        <sz val="11"/>
        <color rgb="FF000000"/>
        <name val="Calibri"/>
        <family val="2"/>
        <scheme val="minor"/>
      </font>
      <numFmt numFmtId="172" formatCode="\$#,##0"/>
      <fill>
        <patternFill>
          <fgColor indexed="64"/>
          <bgColor theme="0"/>
        </patternFill>
      </fill>
      <alignment horizontal="general" vertical="top" textRotation="0" wrapText="1" indent="0" justifyLastLine="0" shrinkToFit="0" readingOrder="0"/>
      <border diagonalUp="0" diagonalDown="0" outline="0">
        <left/>
        <right/>
        <top/>
        <bottom style="thin">
          <color rgb="FFD9D9D9"/>
        </bottom>
      </border>
    </dxf>
    <dxf>
      <font>
        <b val="0"/>
        <i val="0"/>
        <strike val="0"/>
        <condense val="0"/>
        <extend val="0"/>
        <outline val="0"/>
        <shadow val="0"/>
        <u val="none"/>
        <vertAlign val="baseline"/>
        <sz val="11"/>
        <color rgb="FF000000"/>
        <name val="Calibri"/>
        <family val="2"/>
        <scheme val="minor"/>
      </font>
      <numFmt numFmtId="172" formatCode="\$#,##0"/>
      <fill>
        <patternFill>
          <fgColor indexed="64"/>
          <bgColor theme="0"/>
        </patternFill>
      </fill>
      <alignment horizontal="general" vertical="top" textRotation="0" wrapText="1" indent="0" justifyLastLine="0" shrinkToFit="0" readingOrder="0"/>
      <border diagonalUp="0" diagonalDown="0" outline="0">
        <left/>
        <right/>
        <top/>
        <bottom style="thin">
          <color rgb="FFD9D9D9"/>
        </bottom>
      </border>
    </dxf>
    <dxf>
      <font>
        <b val="0"/>
        <i val="0"/>
        <strike val="0"/>
        <condense val="0"/>
        <extend val="0"/>
        <outline val="0"/>
        <shadow val="0"/>
        <u val="none"/>
        <vertAlign val="baseline"/>
        <sz val="11"/>
        <color rgb="FF000000"/>
        <name val="Calibri"/>
        <family val="2"/>
        <scheme val="minor"/>
      </font>
      <numFmt numFmtId="172" formatCode="\$#,##0"/>
      <fill>
        <patternFill>
          <fgColor indexed="64"/>
          <bgColor theme="0"/>
        </patternFill>
      </fill>
      <alignment horizontal="general" vertical="top" textRotation="0" wrapText="1" indent="0" justifyLastLine="0" shrinkToFit="0" readingOrder="0"/>
      <border diagonalUp="0" diagonalDown="0" outline="0">
        <left/>
        <right/>
        <top/>
        <bottom style="thin">
          <color rgb="FFD9D9D9"/>
        </bottom>
      </border>
    </dxf>
    <dxf>
      <font>
        <b val="0"/>
        <i val="0"/>
        <strike val="0"/>
        <condense val="0"/>
        <extend val="0"/>
        <outline val="0"/>
        <shadow val="0"/>
        <u val="none"/>
        <vertAlign val="baseline"/>
        <sz val="11"/>
        <color rgb="FF000000"/>
        <name val="Calibri"/>
        <family val="2"/>
        <scheme val="minor"/>
      </font>
      <numFmt numFmtId="172" formatCode="\$#,##0"/>
      <fill>
        <patternFill>
          <fgColor indexed="64"/>
          <bgColor theme="0"/>
        </patternFill>
      </fill>
      <alignment horizontal="general" vertical="top" textRotation="0" wrapText="1" indent="0" justifyLastLine="0" shrinkToFit="0" readingOrder="0"/>
      <border diagonalUp="0" diagonalDown="0" outline="0">
        <left/>
        <right/>
        <top/>
        <bottom style="thin">
          <color rgb="FFD9D9D9"/>
        </bottom>
      </border>
    </dxf>
    <dxf>
      <font>
        <b val="0"/>
        <i val="0"/>
        <strike val="0"/>
        <condense val="0"/>
        <extend val="0"/>
        <outline val="0"/>
        <shadow val="0"/>
        <u val="none"/>
        <vertAlign val="baseline"/>
        <sz val="11"/>
        <color rgb="FF000000"/>
        <name val="Calibri"/>
        <family val="2"/>
        <scheme val="minor"/>
      </font>
      <fill>
        <patternFill>
          <fgColor indexed="64"/>
          <bgColor theme="0"/>
        </patternFill>
      </fill>
      <alignment horizontal="general" vertical="top" textRotation="0" wrapText="1" indent="0" justifyLastLine="0" shrinkToFit="0" readingOrder="0"/>
      <border diagonalUp="0" diagonalDown="0" outline="0">
        <left/>
        <right/>
        <top/>
        <bottom style="thin">
          <color rgb="FFD9D9D9"/>
        </bottom>
      </border>
    </dxf>
    <dxf>
      <font>
        <b val="0"/>
        <i val="0"/>
        <strike val="0"/>
        <condense val="0"/>
        <extend val="0"/>
        <outline val="0"/>
        <shadow val="0"/>
        <u val="none"/>
        <vertAlign val="baseline"/>
        <sz val="11"/>
        <color rgb="FF000000"/>
        <name val="Calibri"/>
        <family val="2"/>
        <scheme val="minor"/>
      </font>
      <fill>
        <patternFill>
          <fgColor indexed="64"/>
          <bgColor theme="0"/>
        </patternFill>
      </fill>
      <alignment horizontal="general" vertical="top" textRotation="0" wrapText="1" indent="0" justifyLastLine="0" shrinkToFit="0" readingOrder="0"/>
      <border diagonalUp="0" diagonalDown="0" outline="0">
        <left/>
        <right/>
        <top/>
        <bottom style="thin">
          <color rgb="FFD9D9D9"/>
        </bottom>
      </border>
    </dxf>
    <dxf>
      <font>
        <b val="0"/>
        <i val="0"/>
        <strike val="0"/>
        <condense val="0"/>
        <extend val="0"/>
        <outline val="0"/>
        <shadow val="0"/>
        <u val="none"/>
        <vertAlign val="baseline"/>
        <sz val="11"/>
        <color rgb="FF000000"/>
        <name val="Calibri"/>
        <family val="2"/>
        <scheme val="minor"/>
      </font>
      <fill>
        <patternFill>
          <fgColor indexed="64"/>
          <bgColor theme="0"/>
        </patternFill>
      </fill>
      <alignment horizontal="left" vertical="top" textRotation="0" wrapText="1" indent="0" justifyLastLine="0" shrinkToFit="0" readingOrder="0"/>
      <border diagonalUp="0" diagonalDown="0" outline="0">
        <left/>
        <right/>
        <top/>
        <bottom style="thin">
          <color rgb="FFD9D9D9"/>
        </bottom>
      </border>
    </dxf>
    <dxf>
      <font>
        <strike val="0"/>
        <outline val="0"/>
        <shadow val="0"/>
        <u val="none"/>
        <vertAlign val="baseline"/>
        <sz val="11"/>
        <name val="Calibri"/>
        <family val="2"/>
        <scheme val="minor"/>
      </font>
      <fill>
        <patternFill>
          <fgColor indexed="64"/>
          <bgColor theme="0"/>
        </patternFill>
      </fill>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Calibri"/>
        <family val="2"/>
        <scheme val="minor"/>
      </font>
      <fill>
        <patternFill>
          <fgColor indexed="64"/>
          <bgColor theme="0"/>
        </patternFill>
      </fill>
      <alignment horizontal="general" vertical="top" textRotation="0" wrapText="1" indent="0" justifyLastLine="0" shrinkToFit="0" readingOrder="0"/>
    </dxf>
    <dxf>
      <border outline="0">
        <bottom style="thin">
          <color indexed="64"/>
        </bottom>
      </border>
    </dxf>
    <dxf>
      <font>
        <b/>
        <i val="0"/>
        <strike val="0"/>
        <condense val="0"/>
        <extend val="0"/>
        <outline val="0"/>
        <shadow val="0"/>
        <u val="none"/>
        <vertAlign val="baseline"/>
        <sz val="11"/>
        <color rgb="FF000000"/>
        <name val="Calibri"/>
        <family val="2"/>
        <scheme val="minor"/>
      </font>
      <fill>
        <patternFill>
          <fgColor indexed="64"/>
          <bgColor theme="0"/>
        </patternFill>
      </fill>
      <alignment horizontal="center" vertical="top" textRotation="0" wrapText="1" indent="0" justifyLastLine="0" shrinkToFit="0" readingOrder="0"/>
    </dxf>
  </dxfs>
  <tableStyles count="0" defaultTableStyle="TableStyleMedium2" defaultPivotStyle="PivotStyleLight16"/>
  <colors>
    <mruColors>
      <color rgb="FF0D436B"/>
      <color rgb="FFCA500F"/>
      <color rgb="FF39792A"/>
      <color rgb="FF0D8390"/>
      <color rgb="FF00426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l">
              <a:defRPr sz="1400" b="1" i="0" u="none" strike="noStrike" kern="1200" spc="0" baseline="0">
                <a:solidFill>
                  <a:schemeClr val="tx1"/>
                </a:solidFill>
                <a:latin typeface="Verdana" panose="020B0604030504040204" pitchFamily="34" charset="0"/>
                <a:ea typeface="Verdana" panose="020B0604030504040204" pitchFamily="34" charset="0"/>
                <a:cs typeface="+mn-cs"/>
              </a:defRPr>
            </a:pPr>
            <a:r>
              <a:rPr lang="en-NZ" sz="1400" b="1"/>
              <a:t>Number of families claiming and entitled to Working for Families tax credits</a:t>
            </a:r>
          </a:p>
        </c:rich>
      </c:tx>
      <c:layout>
        <c:manualLayout>
          <c:xMode val="edge"/>
          <c:yMode val="edge"/>
          <c:x val="3.7294573313152141E-2"/>
          <c:y val="8.3398481556622803E-3"/>
        </c:manualLayout>
      </c:layout>
      <c:overlay val="0"/>
      <c:spPr>
        <a:noFill/>
        <a:ln>
          <a:noFill/>
        </a:ln>
        <a:effectLst/>
      </c:spPr>
      <c:txPr>
        <a:bodyPr rot="0" spcFirstLastPara="1" vertOverflow="ellipsis" vert="horz" wrap="square" anchor="ctr" anchorCtr="1"/>
        <a:lstStyle/>
        <a:p>
          <a:pPr algn="l">
            <a:defRPr sz="1400" b="1" i="0" u="none" strike="noStrike" kern="1200" spc="0" baseline="0">
              <a:solidFill>
                <a:schemeClr val="tx1"/>
              </a:solidFill>
              <a:latin typeface="Verdana" panose="020B0604030504040204" pitchFamily="34" charset="0"/>
              <a:ea typeface="Verdana" panose="020B0604030504040204" pitchFamily="34" charset="0"/>
              <a:cs typeface="+mn-cs"/>
            </a:defRPr>
          </a:pPr>
          <a:endParaRPr lang="en-US"/>
        </a:p>
      </c:txPr>
    </c:title>
    <c:autoTitleDeleted val="0"/>
    <c:plotArea>
      <c:layout>
        <c:manualLayout>
          <c:layoutTarget val="inner"/>
          <c:xMode val="edge"/>
          <c:yMode val="edge"/>
          <c:x val="7.9229520300040115E-2"/>
          <c:y val="0.11589269701824161"/>
          <c:w val="0.90441967882673113"/>
          <c:h val="0.79105905893022077"/>
        </c:manualLayout>
      </c:layout>
      <c:lineChart>
        <c:grouping val="standard"/>
        <c:varyColors val="0"/>
        <c:ser>
          <c:idx val="0"/>
          <c:order val="0"/>
          <c:spPr>
            <a:ln w="28575" cap="rnd">
              <a:solidFill>
                <a:srgbClr val="00426D"/>
              </a:solidFill>
              <a:round/>
            </a:ln>
            <a:effectLst/>
          </c:spPr>
          <c:marker>
            <c:symbol val="none"/>
          </c:marker>
          <c:cat>
            <c:numRef>
              <c:f>'Working for families data'!$A$4:$A$28</c:f>
              <c:numCache>
                <c:formatCode>yyyy</c:formatCode>
                <c:ptCount val="25"/>
                <c:pt idx="0">
                  <c:v>36951</c:v>
                </c:pt>
                <c:pt idx="1">
                  <c:v>37316</c:v>
                </c:pt>
                <c:pt idx="2">
                  <c:v>37681</c:v>
                </c:pt>
                <c:pt idx="3">
                  <c:v>38047</c:v>
                </c:pt>
                <c:pt idx="4">
                  <c:v>38412</c:v>
                </c:pt>
                <c:pt idx="5">
                  <c:v>38777</c:v>
                </c:pt>
                <c:pt idx="6">
                  <c:v>39142</c:v>
                </c:pt>
                <c:pt idx="7">
                  <c:v>39508</c:v>
                </c:pt>
                <c:pt idx="8">
                  <c:v>39873</c:v>
                </c:pt>
                <c:pt idx="9">
                  <c:v>40238</c:v>
                </c:pt>
                <c:pt idx="10">
                  <c:v>40603</c:v>
                </c:pt>
                <c:pt idx="11">
                  <c:v>40969</c:v>
                </c:pt>
                <c:pt idx="12">
                  <c:v>41334</c:v>
                </c:pt>
                <c:pt idx="13">
                  <c:v>41699</c:v>
                </c:pt>
                <c:pt idx="14">
                  <c:v>42064</c:v>
                </c:pt>
                <c:pt idx="15">
                  <c:v>42430</c:v>
                </c:pt>
                <c:pt idx="16">
                  <c:v>42795</c:v>
                </c:pt>
                <c:pt idx="17">
                  <c:v>43160</c:v>
                </c:pt>
                <c:pt idx="18">
                  <c:v>43525</c:v>
                </c:pt>
                <c:pt idx="19">
                  <c:v>43891</c:v>
                </c:pt>
                <c:pt idx="20">
                  <c:v>44256</c:v>
                </c:pt>
                <c:pt idx="21">
                  <c:v>44621</c:v>
                </c:pt>
                <c:pt idx="22">
                  <c:v>44986</c:v>
                </c:pt>
                <c:pt idx="23">
                  <c:v>45352</c:v>
                </c:pt>
                <c:pt idx="24">
                  <c:v>45717</c:v>
                </c:pt>
              </c:numCache>
            </c:numRef>
          </c:cat>
          <c:val>
            <c:numRef>
              <c:f>'Working for families data'!$H$4:$H$28</c:f>
              <c:numCache>
                <c:formatCode>0.0</c:formatCode>
                <c:ptCount val="25"/>
                <c:pt idx="0">
                  <c:v>300.10000000000002</c:v>
                </c:pt>
                <c:pt idx="1">
                  <c:v>295.7</c:v>
                </c:pt>
                <c:pt idx="2">
                  <c:v>288.5</c:v>
                </c:pt>
                <c:pt idx="3">
                  <c:v>279.10000000000002</c:v>
                </c:pt>
                <c:pt idx="4">
                  <c:v>268.39999999999998</c:v>
                </c:pt>
                <c:pt idx="5">
                  <c:v>290.10000000000002</c:v>
                </c:pt>
                <c:pt idx="6">
                  <c:v>380.3</c:v>
                </c:pt>
                <c:pt idx="7">
                  <c:v>389.5</c:v>
                </c:pt>
                <c:pt idx="8">
                  <c:v>402.8</c:v>
                </c:pt>
                <c:pt idx="9">
                  <c:v>415.1</c:v>
                </c:pt>
                <c:pt idx="10">
                  <c:v>421.2</c:v>
                </c:pt>
                <c:pt idx="11">
                  <c:v>398.7</c:v>
                </c:pt>
                <c:pt idx="12">
                  <c:v>379</c:v>
                </c:pt>
                <c:pt idx="13">
                  <c:v>364</c:v>
                </c:pt>
                <c:pt idx="14">
                  <c:v>349.8</c:v>
                </c:pt>
                <c:pt idx="15">
                  <c:v>338.7</c:v>
                </c:pt>
                <c:pt idx="16">
                  <c:v>326.10000000000002</c:v>
                </c:pt>
                <c:pt idx="17">
                  <c:v>322.88799999999998</c:v>
                </c:pt>
                <c:pt idx="18">
                  <c:v>337.4</c:v>
                </c:pt>
                <c:pt idx="19">
                  <c:v>355.7</c:v>
                </c:pt>
                <c:pt idx="20">
                  <c:v>352.7</c:v>
                </c:pt>
                <c:pt idx="21">
                  <c:v>345.7</c:v>
                </c:pt>
                <c:pt idx="22">
                  <c:v>337.7</c:v>
                </c:pt>
                <c:pt idx="23">
                  <c:v>330.6</c:v>
                </c:pt>
                <c:pt idx="24">
                  <c:v>336.5</c:v>
                </c:pt>
              </c:numCache>
            </c:numRef>
          </c:val>
          <c:smooth val="0"/>
          <c:extLst>
            <c:ext xmlns:c16="http://schemas.microsoft.com/office/drawing/2014/chart" uri="{C3380CC4-5D6E-409C-BE32-E72D297353CC}">
              <c16:uniqueId val="{00000000-A693-45C6-90B8-C65EC739EC64}"/>
            </c:ext>
          </c:extLst>
        </c:ser>
        <c:dLbls>
          <c:showLegendKey val="0"/>
          <c:showVal val="0"/>
          <c:showCatName val="0"/>
          <c:showSerName val="0"/>
          <c:showPercent val="0"/>
          <c:showBubbleSize val="0"/>
        </c:dLbls>
        <c:smooth val="0"/>
        <c:axId val="820360528"/>
        <c:axId val="820359280"/>
      </c:lineChart>
      <c:dateAx>
        <c:axId val="820360528"/>
        <c:scaling>
          <c:orientation val="minMax"/>
          <c:min val="37681"/>
        </c:scaling>
        <c:delete val="0"/>
        <c:axPos val="b"/>
        <c:title>
          <c:tx>
            <c:rich>
              <a:bodyPr rot="0" spcFirstLastPara="1" vertOverflow="ellipsis" vert="horz" wrap="square" anchor="ctr" anchorCtr="1"/>
              <a:lstStyle/>
              <a:p>
                <a:pPr>
                  <a:defRPr sz="1200" b="0" i="0" u="none" strike="noStrike" kern="1200" baseline="0">
                    <a:solidFill>
                      <a:schemeClr val="tx1"/>
                    </a:solidFill>
                    <a:latin typeface="Verdana" panose="020B0604030504040204" pitchFamily="34" charset="0"/>
                    <a:ea typeface="Verdana" panose="020B0604030504040204" pitchFamily="34" charset="0"/>
                    <a:cs typeface="+mn-cs"/>
                  </a:defRPr>
                </a:pPr>
                <a:r>
                  <a:rPr lang="en-NZ"/>
                  <a:t>Tax year</a:t>
                </a:r>
              </a:p>
            </c:rich>
          </c:tx>
          <c:layout>
            <c:manualLayout>
              <c:xMode val="edge"/>
              <c:yMode val="edge"/>
              <c:x val="0.43114580607224495"/>
              <c:y val="0.95725844237247004"/>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solidFill>
                  <a:latin typeface="Verdana" panose="020B0604030504040204" pitchFamily="34" charset="0"/>
                  <a:ea typeface="Verdana" panose="020B0604030504040204" pitchFamily="34" charset="0"/>
                  <a:cs typeface="+mn-cs"/>
                </a:defRPr>
              </a:pPr>
              <a:endParaRPr lang="en-US"/>
            </a:p>
          </c:txPr>
        </c:title>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solidFill>
                <a:latin typeface="Verdana" panose="020B0604030504040204" pitchFamily="34" charset="0"/>
                <a:ea typeface="Verdana" panose="020B0604030504040204" pitchFamily="34" charset="0"/>
                <a:cs typeface="+mn-cs"/>
              </a:defRPr>
            </a:pPr>
            <a:endParaRPr lang="en-US"/>
          </a:p>
        </c:txPr>
        <c:crossAx val="820359280"/>
        <c:crosses val="autoZero"/>
        <c:auto val="1"/>
        <c:lblOffset val="100"/>
        <c:baseTimeUnit val="years"/>
        <c:majorUnit val="2"/>
        <c:majorTimeUnit val="years"/>
      </c:dateAx>
      <c:valAx>
        <c:axId val="820359280"/>
        <c:scaling>
          <c:orientation val="minMax"/>
          <c:min val="15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solidFill>
                    <a:latin typeface="Verdana" panose="020B0604030504040204" pitchFamily="34" charset="0"/>
                    <a:ea typeface="Verdana" panose="020B0604030504040204" pitchFamily="34" charset="0"/>
                    <a:cs typeface="+mn-cs"/>
                  </a:defRPr>
                </a:pPr>
                <a:r>
                  <a:rPr lang="en-NZ"/>
                  <a:t>Number of families (000s)</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solidFill>
                  <a:latin typeface="Verdana" panose="020B0604030504040204" pitchFamily="34" charset="0"/>
                  <a:ea typeface="Verdana" panose="020B0604030504040204" pitchFamily="34" charset="0"/>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solidFill>
                <a:latin typeface="Verdana" panose="020B0604030504040204" pitchFamily="34" charset="0"/>
                <a:ea typeface="Verdana" panose="020B0604030504040204" pitchFamily="34" charset="0"/>
                <a:cs typeface="+mn-cs"/>
              </a:defRPr>
            </a:pPr>
            <a:endParaRPr lang="en-US"/>
          </a:p>
        </c:txPr>
        <c:crossAx val="8203605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200">
          <a:solidFill>
            <a:schemeClr val="tx1"/>
          </a:solidFill>
          <a:latin typeface="Verdana" panose="020B0604030504040204" pitchFamily="34" charset="0"/>
          <a:ea typeface="Verdana" panose="020B0604030504040204" pitchFamily="34"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solidFill>
                <a:latin typeface="Verdana" panose="020B0604030504040204" pitchFamily="34" charset="0"/>
                <a:ea typeface="Verdana" panose="020B0604030504040204" pitchFamily="34" charset="0"/>
                <a:cs typeface="+mn-cs"/>
              </a:defRPr>
            </a:pPr>
            <a:r>
              <a:rPr lang="en-NZ" sz="1400" b="1"/>
              <a:t>Average family entitlement to Working for Families tax credits</a:t>
            </a:r>
          </a:p>
        </c:rich>
      </c:tx>
      <c:layout>
        <c:manualLayout>
          <c:xMode val="edge"/>
          <c:yMode val="edge"/>
          <c:x val="3.7294573313152141E-2"/>
          <c:y val="8.3398481556622803E-3"/>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Verdana" panose="020B0604030504040204" pitchFamily="34" charset="0"/>
              <a:ea typeface="Verdana" panose="020B0604030504040204" pitchFamily="34" charset="0"/>
              <a:cs typeface="+mn-cs"/>
            </a:defRPr>
          </a:pPr>
          <a:endParaRPr lang="en-US"/>
        </a:p>
      </c:txPr>
    </c:title>
    <c:autoTitleDeleted val="0"/>
    <c:plotArea>
      <c:layout>
        <c:manualLayout>
          <c:layoutTarget val="inner"/>
          <c:xMode val="edge"/>
          <c:yMode val="edge"/>
          <c:x val="0.11341755848951839"/>
          <c:y val="8.8788190512339202E-2"/>
          <c:w val="0.87023164063725289"/>
          <c:h val="0.76571210486098351"/>
        </c:manualLayout>
      </c:layout>
      <c:lineChart>
        <c:grouping val="standard"/>
        <c:varyColors val="0"/>
        <c:ser>
          <c:idx val="0"/>
          <c:order val="0"/>
          <c:tx>
            <c:v>All Working For Families tax credits</c:v>
          </c:tx>
          <c:spPr>
            <a:ln w="28575" cap="rnd">
              <a:solidFill>
                <a:srgbClr val="00426D"/>
              </a:solidFill>
              <a:round/>
            </a:ln>
            <a:effectLst/>
          </c:spPr>
          <c:marker>
            <c:symbol val="none"/>
          </c:marker>
          <c:cat>
            <c:numRef>
              <c:f>'Working for families data'!$A$4:$A$28</c:f>
              <c:numCache>
                <c:formatCode>yyyy</c:formatCode>
                <c:ptCount val="25"/>
                <c:pt idx="0">
                  <c:v>36951</c:v>
                </c:pt>
                <c:pt idx="1">
                  <c:v>37316</c:v>
                </c:pt>
                <c:pt idx="2">
                  <c:v>37681</c:v>
                </c:pt>
                <c:pt idx="3">
                  <c:v>38047</c:v>
                </c:pt>
                <c:pt idx="4">
                  <c:v>38412</c:v>
                </c:pt>
                <c:pt idx="5">
                  <c:v>38777</c:v>
                </c:pt>
                <c:pt idx="6">
                  <c:v>39142</c:v>
                </c:pt>
                <c:pt idx="7">
                  <c:v>39508</c:v>
                </c:pt>
                <c:pt idx="8">
                  <c:v>39873</c:v>
                </c:pt>
                <c:pt idx="9">
                  <c:v>40238</c:v>
                </c:pt>
                <c:pt idx="10">
                  <c:v>40603</c:v>
                </c:pt>
                <c:pt idx="11">
                  <c:v>40969</c:v>
                </c:pt>
                <c:pt idx="12">
                  <c:v>41334</c:v>
                </c:pt>
                <c:pt idx="13">
                  <c:v>41699</c:v>
                </c:pt>
                <c:pt idx="14">
                  <c:v>42064</c:v>
                </c:pt>
                <c:pt idx="15">
                  <c:v>42430</c:v>
                </c:pt>
                <c:pt idx="16">
                  <c:v>42795</c:v>
                </c:pt>
                <c:pt idx="17">
                  <c:v>43160</c:v>
                </c:pt>
                <c:pt idx="18">
                  <c:v>43525</c:v>
                </c:pt>
                <c:pt idx="19">
                  <c:v>43891</c:v>
                </c:pt>
                <c:pt idx="20">
                  <c:v>44256</c:v>
                </c:pt>
                <c:pt idx="21">
                  <c:v>44621</c:v>
                </c:pt>
                <c:pt idx="22">
                  <c:v>44986</c:v>
                </c:pt>
                <c:pt idx="23">
                  <c:v>45352</c:v>
                </c:pt>
                <c:pt idx="24">
                  <c:v>45717</c:v>
                </c:pt>
              </c:numCache>
            </c:numRef>
          </c:cat>
          <c:val>
            <c:numRef>
              <c:f>'Working for families data'!$H$36:$H$60</c:f>
              <c:numCache>
                <c:formatCode>#,##0</c:formatCode>
                <c:ptCount val="25"/>
                <c:pt idx="0">
                  <c:v>3455.8</c:v>
                </c:pt>
                <c:pt idx="1">
                  <c:v>3424.4</c:v>
                </c:pt>
                <c:pt idx="2">
                  <c:v>3456.8</c:v>
                </c:pt>
                <c:pt idx="3">
                  <c:v>3505.6</c:v>
                </c:pt>
                <c:pt idx="4">
                  <c:v>3473.2</c:v>
                </c:pt>
                <c:pt idx="5">
                  <c:v>4928.3</c:v>
                </c:pt>
                <c:pt idx="6">
                  <c:v>5797.8</c:v>
                </c:pt>
                <c:pt idx="7">
                  <c:v>6515.3</c:v>
                </c:pt>
                <c:pt idx="8">
                  <c:v>6614.7</c:v>
                </c:pt>
                <c:pt idx="9">
                  <c:v>6628.3</c:v>
                </c:pt>
                <c:pt idx="10">
                  <c:v>6463.7</c:v>
                </c:pt>
                <c:pt idx="11">
                  <c:v>6562.6</c:v>
                </c:pt>
                <c:pt idx="12">
                  <c:v>6731.3984168865436</c:v>
                </c:pt>
                <c:pt idx="13">
                  <c:v>6725.8241758241757</c:v>
                </c:pt>
                <c:pt idx="14">
                  <c:v>6798.4562607204116</c:v>
                </c:pt>
                <c:pt idx="15">
                  <c:v>6770.2981989961636</c:v>
                </c:pt>
                <c:pt idx="16">
                  <c:v>6958.9083103342527</c:v>
                </c:pt>
                <c:pt idx="17">
                  <c:v>6931.013258467332</c:v>
                </c:pt>
                <c:pt idx="18">
                  <c:v>7922.6</c:v>
                </c:pt>
                <c:pt idx="19" formatCode="#,##0_ ;\-#,##0\ ">
                  <c:v>8257</c:v>
                </c:pt>
                <c:pt idx="20" formatCode="#,##0_ ;\-#,##0\ ">
                  <c:v>8256</c:v>
                </c:pt>
                <c:pt idx="21" formatCode="#,##0_ ;\-#,##0\ ">
                  <c:v>8094</c:v>
                </c:pt>
                <c:pt idx="22" formatCode="#,##0_ ;\-#,##0\ ">
                  <c:v>8774</c:v>
                </c:pt>
                <c:pt idx="23" formatCode="#,##0_ ;\-#,##0\ ">
                  <c:v>9259</c:v>
                </c:pt>
                <c:pt idx="24" formatCode="#,##0_ ;\-#,##0\ ">
                  <c:v>9828</c:v>
                </c:pt>
              </c:numCache>
            </c:numRef>
          </c:val>
          <c:smooth val="0"/>
          <c:extLst>
            <c:ext xmlns:c16="http://schemas.microsoft.com/office/drawing/2014/chart" uri="{C3380CC4-5D6E-409C-BE32-E72D297353CC}">
              <c16:uniqueId val="{00000000-C21E-4174-B8CA-255BDB9DD429}"/>
            </c:ext>
          </c:extLst>
        </c:ser>
        <c:ser>
          <c:idx val="1"/>
          <c:order val="1"/>
          <c:tx>
            <c:v>Family Tax Credit</c:v>
          </c:tx>
          <c:spPr>
            <a:ln w="28575" cap="rnd">
              <a:solidFill>
                <a:srgbClr val="CA500F"/>
              </a:solidFill>
              <a:round/>
            </a:ln>
            <a:effectLst/>
          </c:spPr>
          <c:marker>
            <c:symbol val="none"/>
          </c:marker>
          <c:cat>
            <c:numRef>
              <c:f>'Working for families data'!$A$4:$A$28</c:f>
              <c:numCache>
                <c:formatCode>yyyy</c:formatCode>
                <c:ptCount val="25"/>
                <c:pt idx="0">
                  <c:v>36951</c:v>
                </c:pt>
                <c:pt idx="1">
                  <c:v>37316</c:v>
                </c:pt>
                <c:pt idx="2">
                  <c:v>37681</c:v>
                </c:pt>
                <c:pt idx="3">
                  <c:v>38047</c:v>
                </c:pt>
                <c:pt idx="4">
                  <c:v>38412</c:v>
                </c:pt>
                <c:pt idx="5">
                  <c:v>38777</c:v>
                </c:pt>
                <c:pt idx="6">
                  <c:v>39142</c:v>
                </c:pt>
                <c:pt idx="7">
                  <c:v>39508</c:v>
                </c:pt>
                <c:pt idx="8">
                  <c:v>39873</c:v>
                </c:pt>
                <c:pt idx="9">
                  <c:v>40238</c:v>
                </c:pt>
                <c:pt idx="10">
                  <c:v>40603</c:v>
                </c:pt>
                <c:pt idx="11">
                  <c:v>40969</c:v>
                </c:pt>
                <c:pt idx="12">
                  <c:v>41334</c:v>
                </c:pt>
                <c:pt idx="13">
                  <c:v>41699</c:v>
                </c:pt>
                <c:pt idx="14">
                  <c:v>42064</c:v>
                </c:pt>
                <c:pt idx="15">
                  <c:v>42430</c:v>
                </c:pt>
                <c:pt idx="16">
                  <c:v>42795</c:v>
                </c:pt>
                <c:pt idx="17">
                  <c:v>43160</c:v>
                </c:pt>
                <c:pt idx="18">
                  <c:v>43525</c:v>
                </c:pt>
                <c:pt idx="19">
                  <c:v>43891</c:v>
                </c:pt>
                <c:pt idx="20">
                  <c:v>44256</c:v>
                </c:pt>
                <c:pt idx="21">
                  <c:v>44621</c:v>
                </c:pt>
                <c:pt idx="22">
                  <c:v>44986</c:v>
                </c:pt>
                <c:pt idx="23">
                  <c:v>45352</c:v>
                </c:pt>
                <c:pt idx="24">
                  <c:v>45717</c:v>
                </c:pt>
              </c:numCache>
            </c:numRef>
          </c:cat>
          <c:val>
            <c:numRef>
              <c:f>'Working for families data'!$B$36:$B$60</c:f>
              <c:numCache>
                <c:formatCode>#,##0</c:formatCode>
                <c:ptCount val="25"/>
                <c:pt idx="0">
                  <c:v>3074.6</c:v>
                </c:pt>
                <c:pt idx="1">
                  <c:v>3080.7</c:v>
                </c:pt>
                <c:pt idx="2">
                  <c:v>3107.4</c:v>
                </c:pt>
                <c:pt idx="3">
                  <c:v>3135.4</c:v>
                </c:pt>
                <c:pt idx="4">
                  <c:v>3161.8</c:v>
                </c:pt>
                <c:pt idx="5">
                  <c:v>4574.8999999999996</c:v>
                </c:pt>
                <c:pt idx="6">
                  <c:v>4661</c:v>
                </c:pt>
                <c:pt idx="7">
                  <c:v>5337.2</c:v>
                </c:pt>
                <c:pt idx="8">
                  <c:v>5422.4</c:v>
                </c:pt>
                <c:pt idx="9">
                  <c:v>5511</c:v>
                </c:pt>
                <c:pt idx="10">
                  <c:v>5257.7</c:v>
                </c:pt>
                <c:pt idx="11">
                  <c:v>5574.3</c:v>
                </c:pt>
                <c:pt idx="12">
                  <c:v>5792.7874667454917</c:v>
                </c:pt>
                <c:pt idx="13">
                  <c:v>5785.448916408669</c:v>
                </c:pt>
                <c:pt idx="14">
                  <c:v>5798.5194721596399</c:v>
                </c:pt>
                <c:pt idx="15">
                  <c:v>5754.2457542457541</c:v>
                </c:pt>
                <c:pt idx="16">
                  <c:v>5731.7158931082986</c:v>
                </c:pt>
                <c:pt idx="17">
                  <c:v>5806.9580784899654</c:v>
                </c:pt>
                <c:pt idx="18">
                  <c:v>6829</c:v>
                </c:pt>
                <c:pt idx="19" formatCode="#,##0_ ;\-#,##0\ ">
                  <c:v>7496</c:v>
                </c:pt>
                <c:pt idx="20" formatCode="#,##0_ ;\-#,##0\ ">
                  <c:v>7487</c:v>
                </c:pt>
                <c:pt idx="21" formatCode="#,##0_ ;\-#,##0\ ">
                  <c:v>7432</c:v>
                </c:pt>
                <c:pt idx="22" formatCode="#,##0_ ;\-#,##0\ ">
                  <c:v>8373</c:v>
                </c:pt>
                <c:pt idx="23" formatCode="#,##0_ ;\-#,##0\ ">
                  <c:v>8993</c:v>
                </c:pt>
                <c:pt idx="24" formatCode="#,##0_ ;\-#,##0\ ">
                  <c:v>9518</c:v>
                </c:pt>
              </c:numCache>
            </c:numRef>
          </c:val>
          <c:smooth val="0"/>
          <c:extLst>
            <c:ext xmlns:c16="http://schemas.microsoft.com/office/drawing/2014/chart" uri="{C3380CC4-5D6E-409C-BE32-E72D297353CC}">
              <c16:uniqueId val="{00000002-C21E-4174-B8CA-255BDB9DD429}"/>
            </c:ext>
          </c:extLst>
        </c:ser>
        <c:dLbls>
          <c:showLegendKey val="0"/>
          <c:showVal val="0"/>
          <c:showCatName val="0"/>
          <c:showSerName val="0"/>
          <c:showPercent val="0"/>
          <c:showBubbleSize val="0"/>
        </c:dLbls>
        <c:smooth val="0"/>
        <c:axId val="820360528"/>
        <c:axId val="820359280"/>
      </c:lineChart>
      <c:dateAx>
        <c:axId val="820360528"/>
        <c:scaling>
          <c:orientation val="minMax"/>
          <c:max val="45658"/>
          <c:min val="37681"/>
        </c:scaling>
        <c:delete val="0"/>
        <c:axPos val="b"/>
        <c:title>
          <c:tx>
            <c:rich>
              <a:bodyPr rot="0" spcFirstLastPara="1" vertOverflow="ellipsis" vert="horz" wrap="square" anchor="ctr" anchorCtr="1"/>
              <a:lstStyle/>
              <a:p>
                <a:pPr>
                  <a:defRPr sz="1200" b="0" i="0" u="none" strike="noStrike" kern="1200" baseline="0">
                    <a:solidFill>
                      <a:schemeClr val="tx1"/>
                    </a:solidFill>
                    <a:latin typeface="Verdana" panose="020B0604030504040204" pitchFamily="34" charset="0"/>
                    <a:ea typeface="Verdana" panose="020B0604030504040204" pitchFamily="34" charset="0"/>
                    <a:cs typeface="+mn-cs"/>
                  </a:defRPr>
                </a:pPr>
                <a:r>
                  <a:rPr lang="en-NZ"/>
                  <a:t>Tax year</a:t>
                </a:r>
              </a:p>
            </c:rich>
          </c:tx>
          <c:layout>
            <c:manualLayout>
              <c:xMode val="edge"/>
              <c:yMode val="edge"/>
              <c:x val="0.42445684207865148"/>
              <c:y val="0.90552513998387818"/>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solidFill>
                  <a:latin typeface="Verdana" panose="020B0604030504040204" pitchFamily="34" charset="0"/>
                  <a:ea typeface="Verdana" panose="020B0604030504040204" pitchFamily="34" charset="0"/>
                  <a:cs typeface="+mn-cs"/>
                </a:defRPr>
              </a:pPr>
              <a:endParaRPr lang="en-US"/>
            </a:p>
          </c:txPr>
        </c:title>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solidFill>
                <a:latin typeface="Verdana" panose="020B0604030504040204" pitchFamily="34" charset="0"/>
                <a:ea typeface="Verdana" panose="020B0604030504040204" pitchFamily="34" charset="0"/>
                <a:cs typeface="+mn-cs"/>
              </a:defRPr>
            </a:pPr>
            <a:endParaRPr lang="en-US"/>
          </a:p>
        </c:txPr>
        <c:crossAx val="820359280"/>
        <c:crosses val="autoZero"/>
        <c:auto val="1"/>
        <c:lblOffset val="100"/>
        <c:baseTimeUnit val="years"/>
        <c:majorUnit val="2"/>
        <c:majorTimeUnit val="years"/>
      </c:dateAx>
      <c:valAx>
        <c:axId val="820359280"/>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solidFill>
                    <a:latin typeface="Verdana" panose="020B0604030504040204" pitchFamily="34" charset="0"/>
                    <a:ea typeface="Verdana" panose="020B0604030504040204" pitchFamily="34" charset="0"/>
                    <a:cs typeface="+mn-cs"/>
                  </a:defRPr>
                </a:pPr>
                <a:r>
                  <a:rPr lang="en-NZ"/>
                  <a:t>Average family entitlement</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solidFill>
                  <a:latin typeface="Verdana" panose="020B0604030504040204" pitchFamily="34" charset="0"/>
                  <a:ea typeface="Verdana" panose="020B0604030504040204" pitchFamily="34" charset="0"/>
                  <a:cs typeface="+mn-cs"/>
                </a:defRPr>
              </a:pPr>
              <a:endParaRPr lang="en-US"/>
            </a:p>
          </c:txPr>
        </c:title>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solidFill>
                <a:latin typeface="Verdana" panose="020B0604030504040204" pitchFamily="34" charset="0"/>
                <a:ea typeface="Verdana" panose="020B0604030504040204" pitchFamily="34" charset="0"/>
                <a:cs typeface="+mn-cs"/>
              </a:defRPr>
            </a:pPr>
            <a:endParaRPr lang="en-US"/>
          </a:p>
        </c:txPr>
        <c:crossAx val="820360528"/>
        <c:crosses val="autoZero"/>
        <c:crossBetween val="between"/>
      </c:valAx>
      <c:spPr>
        <a:noFill/>
        <a:ln>
          <a:noFill/>
        </a:ln>
        <a:effectLst/>
      </c:spPr>
    </c:plotArea>
    <c:legend>
      <c:legendPos val="b"/>
      <c:layout>
        <c:manualLayout>
          <c:xMode val="edge"/>
          <c:yMode val="edge"/>
          <c:x val="0.17413649746884452"/>
          <c:y val="0.95466215792056397"/>
          <c:w val="0.65469976090611293"/>
          <c:h val="4.3223118491292914E-2"/>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solidFill>
              <a:latin typeface="Verdana" panose="020B0604030504040204" pitchFamily="34" charset="0"/>
              <a:ea typeface="Verdana" panose="020B0604030504040204" pitchFamily="34" charset="0"/>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200">
          <a:solidFill>
            <a:schemeClr val="tx1"/>
          </a:solidFill>
          <a:latin typeface="Verdana" panose="020B0604030504040204" pitchFamily="34" charset="0"/>
          <a:ea typeface="Verdana" panose="020B0604030504040204" pitchFamily="34" charset="0"/>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solidFill>
                <a:latin typeface="Verdana" panose="020B0604030504040204" pitchFamily="34" charset="0"/>
                <a:ea typeface="Verdana" panose="020B0604030504040204" pitchFamily="34" charset="0"/>
                <a:cs typeface="+mn-cs"/>
              </a:defRPr>
            </a:pPr>
            <a:r>
              <a:rPr lang="en-NZ" sz="1400" b="1"/>
              <a:t>Total entitlements paid for Working for Families tax credits</a:t>
            </a:r>
          </a:p>
        </c:rich>
      </c:tx>
      <c:layout>
        <c:manualLayout>
          <c:xMode val="edge"/>
          <c:yMode val="edge"/>
          <c:x val="3.7294573313152141E-2"/>
          <c:y val="8.3398481556622803E-3"/>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Verdana" panose="020B0604030504040204" pitchFamily="34" charset="0"/>
              <a:ea typeface="Verdana" panose="020B0604030504040204" pitchFamily="34" charset="0"/>
              <a:cs typeface="+mn-cs"/>
            </a:defRPr>
          </a:pPr>
          <a:endParaRPr lang="en-US"/>
        </a:p>
      </c:txPr>
    </c:title>
    <c:autoTitleDeleted val="0"/>
    <c:plotArea>
      <c:layout>
        <c:manualLayout>
          <c:layoutTarget val="inner"/>
          <c:xMode val="edge"/>
          <c:yMode val="edge"/>
          <c:x val="0.11193112204649761"/>
          <c:y val="8.8788190512339202E-2"/>
          <c:w val="0.8717180770802736"/>
          <c:h val="0.77437936261889617"/>
        </c:manualLayout>
      </c:layout>
      <c:lineChart>
        <c:grouping val="standard"/>
        <c:varyColors val="0"/>
        <c:ser>
          <c:idx val="0"/>
          <c:order val="0"/>
          <c:tx>
            <c:v>All Working For Families tax credits</c:v>
          </c:tx>
          <c:spPr>
            <a:ln w="28575" cap="rnd">
              <a:solidFill>
                <a:srgbClr val="00426D"/>
              </a:solidFill>
              <a:round/>
            </a:ln>
            <a:effectLst/>
          </c:spPr>
          <c:marker>
            <c:symbol val="none"/>
          </c:marker>
          <c:cat>
            <c:numRef>
              <c:f>'Working for families data'!$A$4:$A$28</c:f>
              <c:numCache>
                <c:formatCode>yyyy</c:formatCode>
                <c:ptCount val="25"/>
                <c:pt idx="0">
                  <c:v>36951</c:v>
                </c:pt>
                <c:pt idx="1">
                  <c:v>37316</c:v>
                </c:pt>
                <c:pt idx="2">
                  <c:v>37681</c:v>
                </c:pt>
                <c:pt idx="3">
                  <c:v>38047</c:v>
                </c:pt>
                <c:pt idx="4">
                  <c:v>38412</c:v>
                </c:pt>
                <c:pt idx="5">
                  <c:v>38777</c:v>
                </c:pt>
                <c:pt idx="6">
                  <c:v>39142</c:v>
                </c:pt>
                <c:pt idx="7">
                  <c:v>39508</c:v>
                </c:pt>
                <c:pt idx="8">
                  <c:v>39873</c:v>
                </c:pt>
                <c:pt idx="9">
                  <c:v>40238</c:v>
                </c:pt>
                <c:pt idx="10">
                  <c:v>40603</c:v>
                </c:pt>
                <c:pt idx="11">
                  <c:v>40969</c:v>
                </c:pt>
                <c:pt idx="12">
                  <c:v>41334</c:v>
                </c:pt>
                <c:pt idx="13">
                  <c:v>41699</c:v>
                </c:pt>
                <c:pt idx="14">
                  <c:v>42064</c:v>
                </c:pt>
                <c:pt idx="15">
                  <c:v>42430</c:v>
                </c:pt>
                <c:pt idx="16">
                  <c:v>42795</c:v>
                </c:pt>
                <c:pt idx="17">
                  <c:v>43160</c:v>
                </c:pt>
                <c:pt idx="18">
                  <c:v>43525</c:v>
                </c:pt>
                <c:pt idx="19">
                  <c:v>43891</c:v>
                </c:pt>
                <c:pt idx="20">
                  <c:v>44256</c:v>
                </c:pt>
                <c:pt idx="21">
                  <c:v>44621</c:v>
                </c:pt>
                <c:pt idx="22">
                  <c:v>44986</c:v>
                </c:pt>
                <c:pt idx="23">
                  <c:v>45352</c:v>
                </c:pt>
                <c:pt idx="24">
                  <c:v>45717</c:v>
                </c:pt>
              </c:numCache>
            </c:numRef>
          </c:cat>
          <c:val>
            <c:numRef>
              <c:f>'Working for families data'!$H$66:$H$90</c:f>
              <c:numCache>
                <c:formatCode>#,##0</c:formatCode>
                <c:ptCount val="25"/>
                <c:pt idx="0">
                  <c:v>1037.0999999999999</c:v>
                </c:pt>
                <c:pt idx="1">
                  <c:v>1012.6</c:v>
                </c:pt>
                <c:pt idx="2">
                  <c:v>997.30000000000018</c:v>
                </c:pt>
                <c:pt idx="3">
                  <c:v>978.40000000000009</c:v>
                </c:pt>
                <c:pt idx="4">
                  <c:v>932.2</c:v>
                </c:pt>
                <c:pt idx="5">
                  <c:v>1429.7</c:v>
                </c:pt>
                <c:pt idx="6">
                  <c:v>2204.8999999999996</c:v>
                </c:pt>
                <c:pt idx="7">
                  <c:v>2537.7000000000003</c:v>
                </c:pt>
                <c:pt idx="8">
                  <c:v>2664.3999999999996</c:v>
                </c:pt>
                <c:pt idx="9">
                  <c:v>2751.4</c:v>
                </c:pt>
                <c:pt idx="10">
                  <c:v>2722.4999999999995</c:v>
                </c:pt>
                <c:pt idx="11">
                  <c:v>2616.5000000000005</c:v>
                </c:pt>
                <c:pt idx="12">
                  <c:v>2551.1999999999998</c:v>
                </c:pt>
                <c:pt idx="13">
                  <c:v>2448.1999999999998</c:v>
                </c:pt>
                <c:pt idx="14">
                  <c:v>2378.1</c:v>
                </c:pt>
                <c:pt idx="15">
                  <c:v>2293.1000000000004</c:v>
                </c:pt>
                <c:pt idx="16">
                  <c:v>2269.3000000000002</c:v>
                </c:pt>
                <c:pt idx="17">
                  <c:v>2237.9410090000001</c:v>
                </c:pt>
                <c:pt idx="18">
                  <c:v>2700</c:v>
                </c:pt>
                <c:pt idx="19">
                  <c:v>2937</c:v>
                </c:pt>
                <c:pt idx="20">
                  <c:v>2912</c:v>
                </c:pt>
                <c:pt idx="21">
                  <c:v>2798</c:v>
                </c:pt>
                <c:pt idx="22">
                  <c:v>2963</c:v>
                </c:pt>
                <c:pt idx="23">
                  <c:v>3061</c:v>
                </c:pt>
                <c:pt idx="24">
                  <c:v>3308</c:v>
                </c:pt>
              </c:numCache>
            </c:numRef>
          </c:val>
          <c:smooth val="0"/>
          <c:extLst>
            <c:ext xmlns:c16="http://schemas.microsoft.com/office/drawing/2014/chart" uri="{C3380CC4-5D6E-409C-BE32-E72D297353CC}">
              <c16:uniqueId val="{00000000-B745-48FF-84A3-C1C4FDB4C866}"/>
            </c:ext>
          </c:extLst>
        </c:ser>
        <c:ser>
          <c:idx val="1"/>
          <c:order val="1"/>
          <c:tx>
            <c:v>Family Tax Credit</c:v>
          </c:tx>
          <c:spPr>
            <a:ln w="28575" cap="rnd">
              <a:solidFill>
                <a:srgbClr val="CA500F"/>
              </a:solidFill>
              <a:round/>
            </a:ln>
            <a:effectLst/>
          </c:spPr>
          <c:marker>
            <c:symbol val="none"/>
          </c:marker>
          <c:cat>
            <c:numRef>
              <c:f>'Working for families data'!$A$4:$A$28</c:f>
              <c:numCache>
                <c:formatCode>yyyy</c:formatCode>
                <c:ptCount val="25"/>
                <c:pt idx="0">
                  <c:v>36951</c:v>
                </c:pt>
                <c:pt idx="1">
                  <c:v>37316</c:v>
                </c:pt>
                <c:pt idx="2">
                  <c:v>37681</c:v>
                </c:pt>
                <c:pt idx="3">
                  <c:v>38047</c:v>
                </c:pt>
                <c:pt idx="4">
                  <c:v>38412</c:v>
                </c:pt>
                <c:pt idx="5">
                  <c:v>38777</c:v>
                </c:pt>
                <c:pt idx="6">
                  <c:v>39142</c:v>
                </c:pt>
                <c:pt idx="7">
                  <c:v>39508</c:v>
                </c:pt>
                <c:pt idx="8">
                  <c:v>39873</c:v>
                </c:pt>
                <c:pt idx="9">
                  <c:v>40238</c:v>
                </c:pt>
                <c:pt idx="10">
                  <c:v>40603</c:v>
                </c:pt>
                <c:pt idx="11">
                  <c:v>40969</c:v>
                </c:pt>
                <c:pt idx="12">
                  <c:v>41334</c:v>
                </c:pt>
                <c:pt idx="13">
                  <c:v>41699</c:v>
                </c:pt>
                <c:pt idx="14">
                  <c:v>42064</c:v>
                </c:pt>
                <c:pt idx="15">
                  <c:v>42430</c:v>
                </c:pt>
                <c:pt idx="16">
                  <c:v>42795</c:v>
                </c:pt>
                <c:pt idx="17">
                  <c:v>43160</c:v>
                </c:pt>
                <c:pt idx="18">
                  <c:v>43525</c:v>
                </c:pt>
                <c:pt idx="19">
                  <c:v>43891</c:v>
                </c:pt>
                <c:pt idx="20">
                  <c:v>44256</c:v>
                </c:pt>
                <c:pt idx="21">
                  <c:v>44621</c:v>
                </c:pt>
                <c:pt idx="22">
                  <c:v>44986</c:v>
                </c:pt>
                <c:pt idx="23">
                  <c:v>45352</c:v>
                </c:pt>
                <c:pt idx="24">
                  <c:v>45717</c:v>
                </c:pt>
              </c:numCache>
            </c:numRef>
          </c:cat>
          <c:val>
            <c:numRef>
              <c:f>'Working for families data'!$B$66:$B$90</c:f>
              <c:numCache>
                <c:formatCode>#,##0</c:formatCode>
                <c:ptCount val="25"/>
                <c:pt idx="0">
                  <c:v>852.90000000000009</c:v>
                </c:pt>
                <c:pt idx="1">
                  <c:v>836.4</c:v>
                </c:pt>
                <c:pt idx="2">
                  <c:v>821.90000000000009</c:v>
                </c:pt>
                <c:pt idx="3">
                  <c:v>814.90000000000009</c:v>
                </c:pt>
                <c:pt idx="4">
                  <c:v>775.9</c:v>
                </c:pt>
                <c:pt idx="5">
                  <c:v>1230.2</c:v>
                </c:pt>
                <c:pt idx="6">
                  <c:v>1611.3</c:v>
                </c:pt>
                <c:pt idx="7">
                  <c:v>1883.5</c:v>
                </c:pt>
                <c:pt idx="8">
                  <c:v>1983.5</c:v>
                </c:pt>
                <c:pt idx="9">
                  <c:v>2073.7999999999997</c:v>
                </c:pt>
                <c:pt idx="10">
                  <c:v>2060.5</c:v>
                </c:pt>
                <c:pt idx="11">
                  <c:v>1988.9</c:v>
                </c:pt>
                <c:pt idx="12">
                  <c:v>1959.7</c:v>
                </c:pt>
                <c:pt idx="13">
                  <c:v>1868.7</c:v>
                </c:pt>
                <c:pt idx="14">
                  <c:v>1801.6</c:v>
                </c:pt>
                <c:pt idx="15">
                  <c:v>1728</c:v>
                </c:pt>
                <c:pt idx="16">
                  <c:v>1630.1</c:v>
                </c:pt>
                <c:pt idx="17">
                  <c:v>1620.6813509999999</c:v>
                </c:pt>
                <c:pt idx="18">
                  <c:v>2024</c:v>
                </c:pt>
                <c:pt idx="19">
                  <c:v>2158</c:v>
                </c:pt>
                <c:pt idx="20">
                  <c:v>2091</c:v>
                </c:pt>
                <c:pt idx="21">
                  <c:v>1977</c:v>
                </c:pt>
                <c:pt idx="22">
                  <c:v>2162</c:v>
                </c:pt>
                <c:pt idx="23">
                  <c:v>2285</c:v>
                </c:pt>
                <c:pt idx="24">
                  <c:v>2431</c:v>
                </c:pt>
              </c:numCache>
            </c:numRef>
          </c:val>
          <c:smooth val="0"/>
          <c:extLst>
            <c:ext xmlns:c16="http://schemas.microsoft.com/office/drawing/2014/chart" uri="{C3380CC4-5D6E-409C-BE32-E72D297353CC}">
              <c16:uniqueId val="{00000001-B745-48FF-84A3-C1C4FDB4C866}"/>
            </c:ext>
          </c:extLst>
        </c:ser>
        <c:dLbls>
          <c:showLegendKey val="0"/>
          <c:showVal val="0"/>
          <c:showCatName val="0"/>
          <c:showSerName val="0"/>
          <c:showPercent val="0"/>
          <c:showBubbleSize val="0"/>
        </c:dLbls>
        <c:smooth val="0"/>
        <c:axId val="820360528"/>
        <c:axId val="820359280"/>
      </c:lineChart>
      <c:dateAx>
        <c:axId val="820360528"/>
        <c:scaling>
          <c:orientation val="minMax"/>
          <c:min val="37681"/>
        </c:scaling>
        <c:delete val="0"/>
        <c:axPos val="b"/>
        <c:title>
          <c:tx>
            <c:rich>
              <a:bodyPr rot="0" spcFirstLastPara="1" vertOverflow="ellipsis" vert="horz" wrap="square" anchor="ctr" anchorCtr="1"/>
              <a:lstStyle/>
              <a:p>
                <a:pPr>
                  <a:defRPr sz="1200" b="0" i="0" u="none" strike="noStrike" kern="1200" baseline="0">
                    <a:solidFill>
                      <a:schemeClr val="tx1"/>
                    </a:solidFill>
                    <a:latin typeface="Verdana" panose="020B0604030504040204" pitchFamily="34" charset="0"/>
                    <a:ea typeface="Verdana" panose="020B0604030504040204" pitchFamily="34" charset="0"/>
                    <a:cs typeface="+mn-cs"/>
                  </a:defRPr>
                </a:pPr>
                <a:r>
                  <a:rPr lang="en-NZ"/>
                  <a:t>Tax year</a:t>
                </a:r>
              </a:p>
            </c:rich>
          </c:tx>
          <c:layout>
            <c:manualLayout>
              <c:xMode val="edge"/>
              <c:yMode val="edge"/>
              <c:x val="0.42222718741412019"/>
              <c:y val="0.91347423955524309"/>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solidFill>
                  <a:latin typeface="Verdana" panose="020B0604030504040204" pitchFamily="34" charset="0"/>
                  <a:ea typeface="Verdana" panose="020B0604030504040204" pitchFamily="34" charset="0"/>
                  <a:cs typeface="+mn-cs"/>
                </a:defRPr>
              </a:pPr>
              <a:endParaRPr lang="en-US"/>
            </a:p>
          </c:txPr>
        </c:title>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solidFill>
                <a:latin typeface="Verdana" panose="020B0604030504040204" pitchFamily="34" charset="0"/>
                <a:ea typeface="Verdana" panose="020B0604030504040204" pitchFamily="34" charset="0"/>
                <a:cs typeface="+mn-cs"/>
              </a:defRPr>
            </a:pPr>
            <a:endParaRPr lang="en-US"/>
          </a:p>
        </c:txPr>
        <c:crossAx val="820359280"/>
        <c:crosses val="autoZero"/>
        <c:auto val="1"/>
        <c:lblOffset val="100"/>
        <c:baseTimeUnit val="years"/>
        <c:majorUnit val="2"/>
        <c:majorTimeUnit val="years"/>
      </c:dateAx>
      <c:valAx>
        <c:axId val="820359280"/>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solidFill>
                    <a:latin typeface="Verdana" panose="020B0604030504040204" pitchFamily="34" charset="0"/>
                    <a:ea typeface="Verdana" panose="020B0604030504040204" pitchFamily="34" charset="0"/>
                    <a:cs typeface="+mn-cs"/>
                  </a:defRPr>
                </a:pPr>
                <a:r>
                  <a:rPr lang="en-NZ"/>
                  <a:t>Aggregate entitlement ($million)</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solidFill>
                  <a:latin typeface="Verdana" panose="020B0604030504040204" pitchFamily="34" charset="0"/>
                  <a:ea typeface="Verdana" panose="020B0604030504040204" pitchFamily="34" charset="0"/>
                  <a:cs typeface="+mn-cs"/>
                </a:defRPr>
              </a:pPr>
              <a:endParaRPr lang="en-US"/>
            </a:p>
          </c:txPr>
        </c:title>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solidFill>
                <a:latin typeface="Verdana" panose="020B0604030504040204" pitchFamily="34" charset="0"/>
                <a:ea typeface="Verdana" panose="020B0604030504040204" pitchFamily="34" charset="0"/>
                <a:cs typeface="+mn-cs"/>
              </a:defRPr>
            </a:pPr>
            <a:endParaRPr lang="en-US"/>
          </a:p>
        </c:txPr>
        <c:crossAx val="820360528"/>
        <c:crosses val="autoZero"/>
        <c:crossBetween val="between"/>
      </c:valAx>
      <c:spPr>
        <a:noFill/>
        <a:ln>
          <a:noFill/>
        </a:ln>
        <a:effectLst/>
      </c:spPr>
    </c:plotArea>
    <c:legend>
      <c:legendPos val="b"/>
      <c:layout>
        <c:manualLayout>
          <c:xMode val="edge"/>
          <c:yMode val="edge"/>
          <c:x val="0.17562293391186534"/>
          <c:y val="0.95738518179719789"/>
          <c:w val="0.65469976090611293"/>
          <c:h val="4.2614818202802121E-2"/>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solidFill>
              <a:latin typeface="Verdana" panose="020B0604030504040204" pitchFamily="34" charset="0"/>
              <a:ea typeface="Verdana" panose="020B0604030504040204" pitchFamily="34" charset="0"/>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200">
          <a:solidFill>
            <a:schemeClr val="tx1"/>
          </a:solidFill>
          <a:latin typeface="Verdana" panose="020B0604030504040204" pitchFamily="34" charset="0"/>
          <a:ea typeface="Verdana" panose="020B0604030504040204" pitchFamily="34"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31750</xdr:colOff>
      <xdr:row>0</xdr:row>
      <xdr:rowOff>19047</xdr:rowOff>
    </xdr:from>
    <xdr:to>
      <xdr:col>14</xdr:col>
      <xdr:colOff>190500</xdr:colOff>
      <xdr:row>63</xdr:row>
      <xdr:rowOff>23090</xdr:rowOff>
    </xdr:to>
    <xdr:sp macro="" textlink="">
      <xdr:nvSpPr>
        <xdr:cNvPr id="9" name="TextBox 1">
          <a:extLst>
            <a:ext uri="{FF2B5EF4-FFF2-40B4-BE49-F238E27FC236}">
              <a16:creationId xmlns:a16="http://schemas.microsoft.com/office/drawing/2014/main" id="{4F8DEFE9-298C-499A-926A-C28F80D1FA9E}"/>
            </a:ext>
          </a:extLst>
        </xdr:cNvPr>
        <xdr:cNvSpPr txBox="1"/>
      </xdr:nvSpPr>
      <xdr:spPr>
        <a:xfrm>
          <a:off x="31750" y="19047"/>
          <a:ext cx="8725477" cy="12005543"/>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fontAlgn="base"/>
          <a:r>
            <a:rPr lang="en-NZ" sz="1400" b="1">
              <a:solidFill>
                <a:schemeClr val="dk1"/>
              </a:solidFill>
              <a:effectLst/>
              <a:latin typeface="+mn-lt"/>
              <a:ea typeface="Verdana" panose="020B0604030504040204" pitchFamily="34" charset="0"/>
              <a:cs typeface="+mn-cs"/>
            </a:rPr>
            <a:t>Working for Families Tax Credits</a:t>
          </a:r>
        </a:p>
        <a:p>
          <a:pPr fontAlgn="base"/>
          <a:endParaRPr lang="en-NZ" sz="1100">
            <a:solidFill>
              <a:schemeClr val="dk1"/>
            </a:solidFill>
            <a:effectLst/>
            <a:latin typeface="+mn-lt"/>
            <a:ea typeface="Verdana" panose="020B0604030504040204" pitchFamily="34" charset="0"/>
            <a:cs typeface="+mn-cs"/>
          </a:endParaRPr>
        </a:p>
        <a:p>
          <a:pPr fontAlgn="base"/>
          <a:r>
            <a:rPr lang="en-NZ" sz="1100">
              <a:solidFill>
                <a:sysClr val="windowText" lastClr="000000"/>
              </a:solidFill>
              <a:effectLst/>
              <a:latin typeface="+mn-lt"/>
              <a:ea typeface="Verdana" panose="020B0604030504040204" pitchFamily="34" charset="0"/>
              <a:cs typeface="+mn-cs"/>
            </a:rPr>
            <a:t>Working for Families is a collective term for tax credits paid to families with dependent children. Working for Families tax credits are designed to help make it easier for people to work and raise a family.</a:t>
          </a:r>
        </a:p>
        <a:p>
          <a:pPr fontAlgn="base"/>
          <a:r>
            <a:rPr lang="en-NZ" sz="1100">
              <a:solidFill>
                <a:sysClr val="windowText" lastClr="000000"/>
              </a:solidFill>
              <a:effectLst/>
              <a:latin typeface="+mn-lt"/>
              <a:ea typeface="Verdana" panose="020B0604030504040204" pitchFamily="34" charset="0"/>
              <a:cs typeface="+mn-cs"/>
            </a:rPr>
            <a:t> </a:t>
          </a:r>
        </a:p>
        <a:p>
          <a:pPr fontAlgn="base"/>
          <a:r>
            <a:rPr lang="en-NZ" sz="1100">
              <a:solidFill>
                <a:sysClr val="windowText" lastClr="000000"/>
              </a:solidFill>
              <a:effectLst/>
              <a:latin typeface="+mn-lt"/>
              <a:ea typeface="Verdana" panose="020B0604030504040204" pitchFamily="34" charset="0"/>
              <a:cs typeface="+mn-cs"/>
            </a:rPr>
            <a:t>Working for Families data from the 2001 to 2025 tax years is available in the accompanying tables and charts.  Working for Families data for the 2020 to 2024 tax years has been revised. Data for the 2025 tax year is released. Data was extracted from Inland Revenue systems</a:t>
          </a:r>
          <a:r>
            <a:rPr lang="en-NZ" sz="1100" baseline="0">
              <a:solidFill>
                <a:sysClr val="windowText" lastClr="000000"/>
              </a:solidFill>
              <a:effectLst/>
              <a:latin typeface="+mn-lt"/>
              <a:ea typeface="Verdana" panose="020B0604030504040204" pitchFamily="34" charset="0"/>
              <a:cs typeface="+mn-cs"/>
            </a:rPr>
            <a:t> on 17 August 2026.</a:t>
          </a:r>
          <a:endParaRPr lang="en-NZ" sz="1100">
            <a:solidFill>
              <a:sysClr val="windowText" lastClr="000000"/>
            </a:solidFill>
            <a:effectLst/>
            <a:latin typeface="+mn-lt"/>
            <a:ea typeface="Verdana" panose="020B0604030504040204" pitchFamily="34" charset="0"/>
            <a:cs typeface="+mn-cs"/>
          </a:endParaRPr>
        </a:p>
        <a:p>
          <a:pPr fontAlgn="base"/>
          <a:endParaRPr lang="en-NZ" sz="1100">
            <a:solidFill>
              <a:sysClr val="windowText" lastClr="000000"/>
            </a:solidFill>
            <a:effectLst/>
            <a:latin typeface="+mn-lt"/>
            <a:ea typeface="Verdana" panose="020B0604030504040204" pitchFamily="34" charset="0"/>
            <a:cs typeface="+mn-cs"/>
          </a:endParaRPr>
        </a:p>
        <a:p>
          <a:pPr fontAlgn="base"/>
          <a:r>
            <a:rPr lang="en-NZ" sz="1100">
              <a:solidFill>
                <a:sysClr val="windowText" lastClr="000000"/>
              </a:solidFill>
              <a:effectLst/>
              <a:latin typeface="+mn-lt"/>
              <a:ea typeface="Verdana" panose="020B0604030504040204" pitchFamily="34" charset="0"/>
              <a:cs typeface="+mn-cs"/>
            </a:rPr>
            <a:t>The data is collected from tax year entitlements as assessed on individuals’ Working</a:t>
          </a:r>
          <a:r>
            <a:rPr lang="en-NZ" sz="1100" baseline="0">
              <a:solidFill>
                <a:sysClr val="windowText" lastClr="000000"/>
              </a:solidFill>
              <a:effectLst/>
              <a:latin typeface="+mn-lt"/>
              <a:ea typeface="Verdana" panose="020B0604030504040204" pitchFamily="34" charset="0"/>
              <a:cs typeface="+mn-cs"/>
            </a:rPr>
            <a:t> for Families </a:t>
          </a:r>
          <a:r>
            <a:rPr lang="en-NZ" sz="1100">
              <a:solidFill>
                <a:sysClr val="windowText" lastClr="000000"/>
              </a:solidFill>
              <a:effectLst/>
              <a:latin typeface="+mn-lt"/>
              <a:ea typeface="Verdana" panose="020B0604030504040204" pitchFamily="34" charset="0"/>
              <a:cs typeface="+mn-cs"/>
            </a:rPr>
            <a:t>return.  The data is supplemented with Working for Families data recorded on the PAYE returns of Work and Income clients, and Working for Families payments made by Inland Revenue where the customer has not yet filed their Working for</a:t>
          </a:r>
          <a:r>
            <a:rPr lang="en-NZ" sz="1100" baseline="0">
              <a:solidFill>
                <a:sysClr val="windowText" lastClr="000000"/>
              </a:solidFill>
              <a:effectLst/>
              <a:latin typeface="+mn-lt"/>
              <a:ea typeface="Verdana" panose="020B0604030504040204" pitchFamily="34" charset="0"/>
              <a:cs typeface="+mn-cs"/>
            </a:rPr>
            <a:t> Families</a:t>
          </a:r>
          <a:r>
            <a:rPr lang="en-NZ" sz="1100">
              <a:solidFill>
                <a:sysClr val="windowText" lastClr="000000"/>
              </a:solidFill>
              <a:effectLst/>
              <a:latin typeface="+mn-lt"/>
              <a:ea typeface="Verdana" panose="020B0604030504040204" pitchFamily="34" charset="0"/>
              <a:cs typeface="+mn-cs"/>
            </a:rPr>
            <a:t> tax return.</a:t>
          </a:r>
        </a:p>
        <a:p>
          <a:pPr fontAlgn="base"/>
          <a:endParaRPr lang="en-NZ" sz="1100">
            <a:solidFill>
              <a:sysClr val="windowText" lastClr="000000"/>
            </a:solidFill>
            <a:effectLst/>
            <a:latin typeface="+mn-lt"/>
            <a:ea typeface="Verdana" panose="020B0604030504040204" pitchFamily="34" charset="0"/>
            <a:cs typeface="+mn-cs"/>
          </a:endParaRPr>
        </a:p>
        <a:p>
          <a:r>
            <a:rPr lang="en-NZ" sz="1100" u="sng">
              <a:solidFill>
                <a:sysClr val="windowText" lastClr="000000"/>
              </a:solidFill>
              <a:effectLst/>
              <a:latin typeface="+mn-lt"/>
              <a:ea typeface="Verdana" panose="020B0604030504040204" pitchFamily="34" charset="0"/>
              <a:cs typeface="+mn-cs"/>
            </a:rPr>
            <a:t>Best Start Tax Credit</a:t>
          </a:r>
        </a:p>
        <a:p>
          <a:r>
            <a:rPr lang="en-NZ" sz="1100">
              <a:solidFill>
                <a:sysClr val="windowText" lastClr="000000"/>
              </a:solidFill>
              <a:effectLst/>
              <a:latin typeface="+mn-lt"/>
              <a:ea typeface="Verdana" panose="020B0604030504040204" pitchFamily="34" charset="0"/>
              <a:cs typeface="+mn-cs"/>
            </a:rPr>
            <a:t>From 2019 to 2025 the Best Start Tax Credit (BSTC) was available to all qualifying families with a baby in their first year, and to families with infants from 1 year of age until their third birthday on an abated basis – meaning that for infants aged one or two the entitlement depended on the family’s income circumstances. BSTC eligibility ceases once a child turns three, but there will be a part year of entitlement in that March year.</a:t>
          </a:r>
          <a:r>
            <a:rPr lang="en-NZ" sz="1100" baseline="0">
              <a:solidFill>
                <a:sysClr val="windowText" lastClr="000000"/>
              </a:solidFill>
              <a:effectLst/>
              <a:latin typeface="+mn-lt"/>
              <a:ea typeface="Verdana" panose="020B0604030504040204" pitchFamily="34" charset="0"/>
              <a:cs typeface="+mn-cs"/>
            </a:rPr>
            <a:t> </a:t>
          </a:r>
          <a:r>
            <a:rPr lang="en-NZ" sz="1100">
              <a:solidFill>
                <a:sysClr val="windowText" lastClr="000000"/>
              </a:solidFill>
              <a:effectLst/>
              <a:latin typeface="+mn-lt"/>
              <a:ea typeface="Verdana" panose="020B0604030504040204" pitchFamily="34" charset="0"/>
              <a:cs typeface="+mn-cs"/>
            </a:rPr>
            <a:t>From 2026 abatement of BSTC entitlements will also apply to families with</a:t>
          </a:r>
          <a:r>
            <a:rPr lang="en-NZ" sz="1100" baseline="0">
              <a:solidFill>
                <a:sysClr val="windowText" lastClr="000000"/>
              </a:solidFill>
              <a:effectLst/>
              <a:latin typeface="+mn-lt"/>
              <a:ea typeface="Verdana" panose="020B0604030504040204" pitchFamily="34" charset="0"/>
              <a:cs typeface="+mn-cs"/>
            </a:rPr>
            <a:t> babies less than 1 year old.</a:t>
          </a:r>
          <a:endParaRPr lang="en-NZ" sz="1100">
            <a:solidFill>
              <a:sysClr val="windowText" lastClr="000000"/>
            </a:solidFill>
            <a:effectLst/>
            <a:latin typeface="+mn-lt"/>
            <a:ea typeface="Verdana" panose="020B0604030504040204" pitchFamily="34" charset="0"/>
            <a:cs typeface="+mn-cs"/>
          </a:endParaRPr>
        </a:p>
        <a:p>
          <a:endParaRPr lang="en-NZ" sz="1100">
            <a:solidFill>
              <a:sysClr val="windowText" lastClr="000000"/>
            </a:solidFill>
            <a:effectLst/>
            <a:latin typeface="+mn-lt"/>
            <a:ea typeface="Verdana" panose="020B0604030504040204" pitchFamily="34" charset="0"/>
            <a:cs typeface="+mn-cs"/>
          </a:endParaRPr>
        </a:p>
        <a:p>
          <a:pPr fontAlgn="base"/>
          <a:r>
            <a:rPr lang="en-NZ" sz="1100">
              <a:solidFill>
                <a:sysClr val="windowText" lastClr="000000"/>
              </a:solidFill>
              <a:effectLst/>
              <a:latin typeface="+mn-lt"/>
              <a:ea typeface="Verdana" panose="020B0604030504040204" pitchFamily="34" charset="0"/>
              <a:cs typeface="+mn-cs"/>
            </a:rPr>
            <a:t>BSTC data in the table and graphs includes families administered by Inland Revenue and clients of Work and Income. For Work and Income clients that received BSTC but did not receive an end of year assessment from Inland Revenue, Inland Revenue has estimated their BSTC entitlement using administrative data held on file and included this estimate in the totals. </a:t>
          </a:r>
        </a:p>
        <a:p>
          <a:pPr marL="0" marR="0" lvl="0" indent="0" defTabSz="914400" eaLnBrk="1" fontAlgn="base" latinLnBrk="0" hangingPunct="1">
            <a:lnSpc>
              <a:spcPct val="100000"/>
            </a:lnSpc>
            <a:spcBef>
              <a:spcPts val="0"/>
            </a:spcBef>
            <a:spcAft>
              <a:spcPts val="0"/>
            </a:spcAft>
            <a:buClrTx/>
            <a:buSzTx/>
            <a:buFontTx/>
            <a:buNone/>
            <a:tabLst/>
            <a:defRPr/>
          </a:pPr>
          <a:r>
            <a:rPr lang="en-NZ" sz="1100" u="none" baseline="0">
              <a:solidFill>
                <a:srgbClr val="FF0000"/>
              </a:solidFill>
              <a:effectLst/>
              <a:latin typeface="+mn-lt"/>
              <a:ea typeface="+mn-ea"/>
              <a:cs typeface="+mn-cs"/>
            </a:rPr>
            <a:t> </a:t>
          </a:r>
          <a:endParaRPr lang="en-NZ" sz="1100">
            <a:solidFill>
              <a:sysClr val="windowText" lastClr="000000"/>
            </a:solidFill>
            <a:effectLst/>
            <a:latin typeface="+mn-lt"/>
            <a:ea typeface="Verdana" panose="020B0604030504040204" pitchFamily="34" charset="0"/>
            <a:cs typeface="+mn-cs"/>
          </a:endParaRPr>
        </a:p>
        <a:p>
          <a:r>
            <a:rPr lang="en-NZ" sz="1100" u="sng">
              <a:solidFill>
                <a:sysClr val="windowText" lastClr="000000"/>
              </a:solidFill>
              <a:effectLst/>
              <a:latin typeface="+mn-lt"/>
              <a:ea typeface="+mn-ea"/>
              <a:cs typeface="+mn-cs"/>
            </a:rPr>
            <a:t>Data on numbers of supported children</a:t>
          </a:r>
        </a:p>
        <a:p>
          <a:r>
            <a:rPr lang="en-NZ" sz="1100">
              <a:solidFill>
                <a:sysClr val="windowText" lastClr="000000"/>
              </a:solidFill>
              <a:effectLst/>
              <a:latin typeface="+mn-lt"/>
              <a:ea typeface="+mn-ea"/>
              <a:cs typeface="+mn-cs"/>
            </a:rPr>
            <a:t>There</a:t>
          </a:r>
          <a:r>
            <a:rPr lang="en-NZ" sz="1100" baseline="0">
              <a:solidFill>
                <a:sysClr val="windowText" lastClr="000000"/>
              </a:solidFill>
              <a:effectLst/>
              <a:latin typeface="+mn-lt"/>
              <a:ea typeface="+mn-ea"/>
              <a:cs typeface="+mn-cs"/>
            </a:rPr>
            <a:t> is </a:t>
          </a:r>
          <a:r>
            <a:rPr lang="en-NZ" sz="1100">
              <a:solidFill>
                <a:sysClr val="windowText" lastClr="000000"/>
              </a:solidFill>
              <a:effectLst/>
              <a:latin typeface="+mn-lt"/>
              <a:ea typeface="+mn-ea"/>
              <a:cs typeface="+mn-cs"/>
            </a:rPr>
            <a:t>a table on the number of children for whom Working for Families tax credits are paid and a distribution of families by the number of children for whom Working for Families tax credits are paid. The number of children has been adjusted for shared</a:t>
          </a:r>
          <a:r>
            <a:rPr lang="en-NZ" sz="1100" baseline="0">
              <a:solidFill>
                <a:sysClr val="windowText" lastClr="000000"/>
              </a:solidFill>
              <a:effectLst/>
              <a:latin typeface="+mn-lt"/>
              <a:ea typeface="+mn-ea"/>
              <a:cs typeface="+mn-cs"/>
            </a:rPr>
            <a:t> care arrangements known to Inland Revenue. However, double counting may occur where shared care arrangements are not known. </a:t>
          </a:r>
          <a:r>
            <a:rPr lang="en-NZ" sz="1100">
              <a:solidFill>
                <a:sysClr val="windowText" lastClr="000000"/>
              </a:solidFill>
              <a:effectLst/>
              <a:latin typeface="+mn-lt"/>
              <a:ea typeface="+mn-ea"/>
              <a:cs typeface="+mn-cs"/>
            </a:rPr>
            <a:t> </a:t>
          </a:r>
        </a:p>
        <a:p>
          <a:endParaRPr lang="en-NZ" sz="1100">
            <a:solidFill>
              <a:sysClr val="windowText" lastClr="000000"/>
            </a:solidFill>
            <a:effectLst/>
            <a:latin typeface="+mn-lt"/>
            <a:ea typeface="+mn-ea"/>
            <a:cs typeface="+mn-cs"/>
          </a:endParaRPr>
        </a:p>
        <a:p>
          <a:r>
            <a:rPr lang="en-NZ" sz="1100">
              <a:solidFill>
                <a:sysClr val="windowText" lastClr="000000"/>
              </a:solidFill>
              <a:effectLst/>
              <a:latin typeface="+mn-lt"/>
              <a:ea typeface="+mn-ea"/>
              <a:cs typeface="+mn-cs"/>
            </a:rPr>
            <a:t>Because family demographics can change during the year, the data on numbers of children is based on the maximum of the number of children in the family during the year.</a:t>
          </a:r>
        </a:p>
        <a:p>
          <a:endParaRPr lang="en-NZ" sz="1100">
            <a:solidFill>
              <a:sysClr val="windowText" lastClr="000000"/>
            </a:solidFill>
            <a:effectLst/>
            <a:latin typeface="+mn-lt"/>
            <a:ea typeface="+mn-ea"/>
            <a:cs typeface="+mn-cs"/>
          </a:endParaRPr>
        </a:p>
        <a:p>
          <a:r>
            <a:rPr lang="en-NZ" sz="1100">
              <a:solidFill>
                <a:sysClr val="windowText" lastClr="000000"/>
              </a:solidFill>
              <a:effectLst/>
              <a:latin typeface="+mn-lt"/>
              <a:ea typeface="+mn-ea"/>
              <a:cs typeface="+mn-cs"/>
            </a:rPr>
            <a:t>Data on the numbers of children is available from 2020.  Data is not available prior to 2020 as Inland Revenue does not hold sufficient information to estimate the number of children in families receiving Working for Families tax credits administered solely by Work and Income.</a:t>
          </a:r>
        </a:p>
        <a:p>
          <a:pPr fontAlgn="base"/>
          <a:endParaRPr lang="en-NZ" sz="1100">
            <a:solidFill>
              <a:sysClr val="windowText" lastClr="000000"/>
            </a:solidFill>
            <a:effectLst/>
            <a:latin typeface="+mn-lt"/>
            <a:ea typeface="Verdana" panose="020B0604030504040204" pitchFamily="34" charset="0"/>
            <a:cs typeface="+mn-cs"/>
          </a:endParaRPr>
        </a:p>
        <a:p>
          <a:pPr fontAlgn="base"/>
          <a:r>
            <a:rPr lang="en-NZ" sz="1100" u="sng">
              <a:solidFill>
                <a:sysClr val="windowText" lastClr="000000"/>
              </a:solidFill>
              <a:effectLst/>
              <a:latin typeface="+mn-lt"/>
              <a:ea typeface="Verdana" panose="020B0604030504040204" pitchFamily="34" charset="0"/>
              <a:cs typeface="+mn-cs"/>
            </a:rPr>
            <a:t>Family income </a:t>
          </a:r>
        </a:p>
        <a:p>
          <a:pPr fontAlgn="base"/>
          <a:r>
            <a:rPr lang="en-NZ" sz="1100">
              <a:solidFill>
                <a:sysClr val="windowText" lastClr="000000"/>
              </a:solidFill>
              <a:effectLst/>
              <a:latin typeface="+mn-lt"/>
              <a:ea typeface="Verdana" panose="020B0604030504040204" pitchFamily="34" charset="0"/>
              <a:cs typeface="+mn-cs"/>
            </a:rPr>
            <a:t>The table </a:t>
          </a:r>
          <a:r>
            <a:rPr lang="en-NZ" sz="1100" b="0" i="0" u="none" strike="noStrike">
              <a:solidFill>
                <a:sysClr val="windowText" lastClr="000000"/>
              </a:solidFill>
              <a:effectLst/>
              <a:latin typeface="+mn-lt"/>
              <a:ea typeface="+mn-ea"/>
              <a:cs typeface="+mn-cs"/>
            </a:rPr>
            <a:t>providing</a:t>
          </a:r>
          <a:r>
            <a:rPr lang="en-NZ" sz="1100" b="0" i="0" u="none" strike="noStrike" baseline="0">
              <a:solidFill>
                <a:sysClr val="windowText" lastClr="000000"/>
              </a:solidFill>
              <a:effectLst/>
              <a:latin typeface="+mn-lt"/>
              <a:ea typeface="+mn-ea"/>
              <a:cs typeface="+mn-cs"/>
            </a:rPr>
            <a:t> an income distribution of W</a:t>
          </a:r>
          <a:r>
            <a:rPr lang="en-NZ" sz="1100" b="0" i="0" u="none" strike="noStrike">
              <a:solidFill>
                <a:sysClr val="windowText" lastClr="000000"/>
              </a:solidFill>
              <a:effectLst/>
              <a:latin typeface="+mn-lt"/>
              <a:ea typeface="+mn-ea"/>
              <a:cs typeface="+mn-cs"/>
            </a:rPr>
            <a:t>orking for Families recipients</a:t>
          </a:r>
          <a:r>
            <a:rPr lang="en-NZ" sz="1100" b="0" i="0" u="none" strike="noStrike" baseline="0">
              <a:solidFill>
                <a:sysClr val="windowText" lastClr="000000"/>
              </a:solidFill>
              <a:effectLst/>
              <a:latin typeface="+mn-lt"/>
              <a:ea typeface="+mn-ea"/>
              <a:cs typeface="+mn-cs"/>
            </a:rPr>
            <a:t> only includes those families entitled to one or more of the Working for Families credits in that year.  Families entitled to more than one credit will appear in multiple columns.</a:t>
          </a:r>
          <a:endParaRPr lang="en-NZ" sz="1100" b="0" i="0" u="none" strike="noStrike">
            <a:solidFill>
              <a:sysClr val="windowText" lastClr="000000"/>
            </a:solidFill>
            <a:effectLst/>
            <a:latin typeface="+mn-lt"/>
            <a:ea typeface="+mn-ea"/>
            <a:cs typeface="+mn-cs"/>
          </a:endParaRPr>
        </a:p>
        <a:p>
          <a:pPr fontAlgn="base"/>
          <a:endParaRPr lang="en-NZ" sz="1100" b="0" i="0" u="none" strike="noStrike">
            <a:solidFill>
              <a:sysClr val="windowText" lastClr="000000"/>
            </a:solidFill>
            <a:effectLst/>
            <a:latin typeface="+mn-lt"/>
            <a:ea typeface="+mn-ea"/>
            <a:cs typeface="+mn-cs"/>
          </a:endParaRPr>
        </a:p>
        <a:p>
          <a:pPr fontAlgn="base"/>
          <a:r>
            <a:rPr lang="en-NZ" sz="1100" b="0" i="0" u="none" strike="noStrike">
              <a:solidFill>
                <a:sysClr val="windowText" lastClr="000000"/>
              </a:solidFill>
              <a:effectLst/>
              <a:latin typeface="+mn-lt"/>
              <a:ea typeface="+mn-ea"/>
              <a:cs typeface="+mn-cs"/>
            </a:rPr>
            <a:t>The distributions are organised</a:t>
          </a:r>
          <a:r>
            <a:rPr lang="en-NZ" sz="1100" b="0" i="0" u="none" strike="noStrike" baseline="0">
              <a:solidFill>
                <a:sysClr val="windowText" lastClr="000000"/>
              </a:solidFill>
              <a:effectLst/>
              <a:latin typeface="+mn-lt"/>
              <a:ea typeface="+mn-ea"/>
              <a:cs typeface="+mn-cs"/>
            </a:rPr>
            <a:t> by credit type, excluding the Minimum Family Tax Credit (MFTC) which has a small number of claims.</a:t>
          </a:r>
        </a:p>
        <a:p>
          <a:pPr fontAlgn="base"/>
          <a:endParaRPr lang="en-NZ" sz="1100" b="0" i="0" u="none" strike="noStrike">
            <a:solidFill>
              <a:sysClr val="windowText" lastClr="000000"/>
            </a:solidFill>
            <a:effectLst/>
            <a:latin typeface="+mn-lt"/>
            <a:ea typeface="+mn-ea"/>
            <a:cs typeface="+mn-cs"/>
          </a:endParaRPr>
        </a:p>
        <a:p>
          <a:pPr fontAlgn="base"/>
          <a:r>
            <a:rPr lang="en-NZ" sz="1100" b="0" i="0" u="none" strike="noStrike">
              <a:solidFill>
                <a:sysClr val="windowText" lastClr="000000"/>
              </a:solidFill>
              <a:effectLst/>
              <a:latin typeface="+mn-lt"/>
              <a:ea typeface="+mn-ea"/>
              <a:cs typeface="+mn-cs"/>
            </a:rPr>
            <a:t>Income</a:t>
          </a:r>
          <a:r>
            <a:rPr lang="en-NZ" sz="1100" b="0" i="0" u="none" strike="noStrike" baseline="0">
              <a:solidFill>
                <a:sysClr val="windowText" lastClr="000000"/>
              </a:solidFill>
              <a:effectLst/>
              <a:latin typeface="+mn-lt"/>
              <a:ea typeface="+mn-ea"/>
              <a:cs typeface="+mn-cs"/>
            </a:rPr>
            <a:t> values are defined as family scheme income a</a:t>
          </a:r>
          <a:r>
            <a:rPr lang="en-NZ" sz="1100" b="0" i="0" u="none" strike="noStrike">
              <a:solidFill>
                <a:sysClr val="windowText" lastClr="000000"/>
              </a:solidFill>
              <a:effectLst/>
              <a:latin typeface="+mn-lt"/>
              <a:ea typeface="+mn-ea"/>
              <a:cs typeface="+mn-cs"/>
            </a:rPr>
            <a:t>s assessed on Working for Families returns. The income of clients of Work</a:t>
          </a:r>
          <a:r>
            <a:rPr lang="en-NZ" sz="1100" b="0" i="0" u="none" strike="noStrike" baseline="0">
              <a:solidFill>
                <a:sysClr val="windowText" lastClr="000000"/>
              </a:solidFill>
              <a:effectLst/>
              <a:latin typeface="+mn-lt"/>
              <a:ea typeface="+mn-ea"/>
              <a:cs typeface="+mn-cs"/>
            </a:rPr>
            <a:t> and Income that have not filed a Working for Families return to Inland Revenue is sourced from the individual's income tax return and does not include any partner's income. Families that received Working for Families tax credits paid upfront by Inland Revenue that have not filed a Working for Families return have been recorded with "unknown" income</a:t>
          </a:r>
          <a:r>
            <a:rPr lang="en-NZ" sz="1100" b="0" i="0" u="none" strike="noStrike">
              <a:solidFill>
                <a:sysClr val="windowText" lastClr="000000"/>
              </a:solidFill>
              <a:effectLst/>
              <a:latin typeface="+mn-lt"/>
              <a:ea typeface="+mn-ea"/>
              <a:cs typeface="+mn-cs"/>
            </a:rPr>
            <a:t>.</a:t>
          </a:r>
          <a:r>
            <a:rPr lang="en-NZ">
              <a:solidFill>
                <a:sysClr val="windowText" lastClr="000000"/>
              </a:solidFill>
              <a:latin typeface="+mn-lt"/>
            </a:rPr>
            <a:t> </a:t>
          </a:r>
        </a:p>
        <a:p>
          <a:pPr fontAlgn="base"/>
          <a:endParaRPr lang="en-NZ" sz="1100" b="0" i="0">
            <a:solidFill>
              <a:sysClr val="windowText" lastClr="000000"/>
            </a:solidFill>
            <a:effectLst/>
            <a:latin typeface="+mn-lt"/>
            <a:ea typeface="+mn-ea"/>
            <a:cs typeface="+mn-cs"/>
          </a:endParaRPr>
        </a:p>
        <a:p>
          <a:pPr fontAlgn="base"/>
          <a:r>
            <a:rPr lang="en-NZ" sz="1100" b="0" i="0">
              <a:solidFill>
                <a:sysClr val="windowText" lastClr="000000"/>
              </a:solidFill>
              <a:effectLst/>
              <a:latin typeface="+mn-lt"/>
              <a:ea typeface="+mn-ea"/>
              <a:cs typeface="+mn-cs"/>
            </a:rPr>
            <a:t>Family income derived from Working</a:t>
          </a:r>
          <a:r>
            <a:rPr lang="en-NZ" sz="1100" b="0" i="0" baseline="0">
              <a:solidFill>
                <a:sysClr val="windowText" lastClr="000000"/>
              </a:solidFill>
              <a:effectLst/>
              <a:latin typeface="+mn-lt"/>
              <a:ea typeface="+mn-ea"/>
              <a:cs typeface="+mn-cs"/>
            </a:rPr>
            <a:t> for Families returns </a:t>
          </a:r>
          <a:r>
            <a:rPr lang="en-NZ" sz="1100" b="0" i="0">
              <a:solidFill>
                <a:sysClr val="windowText" lastClr="000000"/>
              </a:solidFill>
              <a:effectLst/>
              <a:latin typeface="+mn-lt"/>
              <a:ea typeface="+mn-ea"/>
              <a:cs typeface="+mn-cs"/>
            </a:rPr>
            <a:t>is calculated using a weighted average of family scheme income during the time the family is entitled to Working for Families tax credits. For example, a two-parent family has one parent working earning $50,000 for the first 6 months of the year. Halfway through the year the second parent begins a job earning $50,000 taking the families income to $100,000 for the second six months of the year. The weighted average family scheme income presented in this table will total $75,000.  </a:t>
          </a:r>
        </a:p>
        <a:p>
          <a:pPr fontAlgn="base"/>
          <a:endParaRPr lang="en-NZ" sz="1100" b="0" i="0" u="none" strike="noStrike">
            <a:solidFill>
              <a:sysClr val="windowText" lastClr="000000"/>
            </a:solidFill>
            <a:effectLst/>
            <a:latin typeface="+mn-lt"/>
            <a:ea typeface="+mn-ea"/>
            <a:cs typeface="+mn-cs"/>
          </a:endParaRPr>
        </a:p>
        <a:p>
          <a:pPr fontAlgn="base"/>
          <a:r>
            <a:rPr lang="en-NZ" sz="1100" b="0" i="0" u="none" strike="noStrike">
              <a:solidFill>
                <a:sysClr val="windowText" lastClr="000000"/>
              </a:solidFill>
              <a:effectLst/>
              <a:latin typeface="+mn-lt"/>
              <a:ea typeface="+mn-ea"/>
              <a:cs typeface="+mn-cs"/>
            </a:rPr>
            <a:t>The count of families has been rounded to the nearest 10, and the total family income has been rounded to the nearest 0.1 million dollars. Data may not add up due to this rounding.</a:t>
          </a:r>
        </a:p>
        <a:p>
          <a:pPr marL="0" marR="0" lvl="0" indent="0" defTabSz="914400" eaLnBrk="1" fontAlgn="base" latinLnBrk="0" hangingPunct="1">
            <a:lnSpc>
              <a:spcPct val="100000"/>
            </a:lnSpc>
            <a:spcBef>
              <a:spcPts val="0"/>
            </a:spcBef>
            <a:spcAft>
              <a:spcPts val="0"/>
            </a:spcAft>
            <a:buClrTx/>
            <a:buSzTx/>
            <a:buFontTx/>
            <a:buNone/>
            <a:tabLst/>
            <a:defRPr/>
          </a:pPr>
          <a:br>
            <a:rPr lang="en-NZ" sz="1100" b="0" i="0" u="none" strike="noStrike">
              <a:solidFill>
                <a:sysClr val="windowText" lastClr="000000"/>
              </a:solidFill>
              <a:effectLst/>
              <a:latin typeface="+mn-lt"/>
              <a:ea typeface="+mn-ea"/>
              <a:cs typeface="+mn-cs"/>
            </a:rPr>
          </a:br>
          <a:r>
            <a:rPr lang="en-NZ" sz="1100">
              <a:solidFill>
                <a:sysClr val="windowText" lastClr="000000"/>
              </a:solidFill>
              <a:effectLst/>
              <a:latin typeface="+mn-lt"/>
              <a:ea typeface="+mn-ea"/>
              <a:cs typeface="+mn-cs"/>
            </a:rPr>
            <a:t>Distributional data on family incomes is available from 2020.</a:t>
          </a:r>
          <a:endParaRPr lang="en-NZ">
            <a:solidFill>
              <a:sysClr val="windowText" lastClr="000000"/>
            </a:solidFill>
            <a:effectLst/>
            <a:latin typeface="+mn-lt"/>
          </a:endParaRPr>
        </a:p>
        <a:p>
          <a:pPr fontAlgn="base"/>
          <a:endParaRPr lang="en-NZ" sz="1100">
            <a:solidFill>
              <a:sysClr val="windowText" lastClr="000000"/>
            </a:solidFill>
            <a:effectLst/>
            <a:latin typeface="+mn-lt"/>
            <a:ea typeface="Verdana" panose="020B0604030504040204" pitchFamily="34" charset="0"/>
            <a:cs typeface="+mn-cs"/>
          </a:endParaRPr>
        </a:p>
        <a:p>
          <a:pPr fontAlgn="base"/>
          <a:r>
            <a:rPr lang="en-NZ" sz="1100" u="sng">
              <a:solidFill>
                <a:sysClr val="windowText" lastClr="000000"/>
              </a:solidFill>
              <a:effectLst/>
              <a:latin typeface="+mn-lt"/>
              <a:ea typeface="Verdana" panose="020B0604030504040204" pitchFamily="34" charset="0"/>
              <a:cs typeface="+mn-cs"/>
            </a:rPr>
            <a:t>Abbreviations are used for the tables and graphs</a:t>
          </a:r>
        </a:p>
        <a:p>
          <a:pPr fontAlgn="base"/>
          <a:endParaRPr lang="en-NZ" sz="1100">
            <a:solidFill>
              <a:sysClr val="windowText" lastClr="000000"/>
            </a:solidFill>
            <a:effectLst/>
            <a:latin typeface="+mn-lt"/>
            <a:ea typeface="Verdana" panose="020B0604030504040204" pitchFamily="34" charset="0"/>
            <a:cs typeface="+mn-cs"/>
          </a:endParaRPr>
        </a:p>
        <a:p>
          <a:pPr fontAlgn="base"/>
          <a:r>
            <a:rPr lang="en-NZ" sz="1100" u="none">
              <a:solidFill>
                <a:sysClr val="windowText" lastClr="000000"/>
              </a:solidFill>
              <a:effectLst/>
              <a:latin typeface="+mn-lt"/>
              <a:ea typeface="Verdana" panose="020B0604030504040204" pitchFamily="34" charset="0"/>
              <a:cs typeface="+mn-cs"/>
            </a:rPr>
            <a:t>Current Credits</a:t>
          </a:r>
        </a:p>
        <a:p>
          <a:pPr lvl="0" fontAlgn="base"/>
          <a:r>
            <a:rPr lang="en-NZ" sz="1100">
              <a:solidFill>
                <a:sysClr val="windowText" lastClr="000000"/>
              </a:solidFill>
              <a:effectLst/>
              <a:latin typeface="+mn-lt"/>
              <a:ea typeface="Verdana" panose="020B0604030504040204" pitchFamily="34" charset="0"/>
              <a:cs typeface="+mn-cs"/>
            </a:rPr>
            <a:t>- Family Tax Credit (FTC)</a:t>
          </a:r>
        </a:p>
        <a:p>
          <a:pPr lvl="0" fontAlgn="base"/>
          <a:r>
            <a:rPr lang="en-NZ" sz="1100">
              <a:solidFill>
                <a:sysClr val="windowText" lastClr="000000"/>
              </a:solidFill>
              <a:effectLst/>
              <a:latin typeface="+mn-lt"/>
              <a:ea typeface="Verdana" panose="020B0604030504040204" pitchFamily="34" charset="0"/>
              <a:cs typeface="+mn-cs"/>
            </a:rPr>
            <a:t>- In-Work Tax Credit (IWTC)</a:t>
          </a:r>
        </a:p>
        <a:p>
          <a:pPr lvl="0" fontAlgn="base"/>
          <a:r>
            <a:rPr lang="en-NZ" sz="1100">
              <a:solidFill>
                <a:sysClr val="windowText" lastClr="000000"/>
              </a:solidFill>
              <a:effectLst/>
              <a:latin typeface="+mn-lt"/>
              <a:ea typeface="Verdana" panose="020B0604030504040204" pitchFamily="34" charset="0"/>
              <a:cs typeface="+mn-cs"/>
            </a:rPr>
            <a:t>- Minimum Family Tax Credit (MFTC)</a:t>
          </a:r>
        </a:p>
        <a:p>
          <a:pPr lvl="0" fontAlgn="base"/>
          <a:r>
            <a:rPr lang="en-NZ" sz="1100">
              <a:solidFill>
                <a:sysClr val="windowText" lastClr="000000"/>
              </a:solidFill>
              <a:effectLst/>
              <a:latin typeface="+mn-lt"/>
              <a:ea typeface="Verdana" panose="020B0604030504040204" pitchFamily="34" charset="0"/>
              <a:cs typeface="+mn-cs"/>
            </a:rPr>
            <a:t>- Best Start Tax Credit (BSTC)</a:t>
          </a:r>
        </a:p>
        <a:p>
          <a:pPr fontAlgn="base"/>
          <a:r>
            <a:rPr lang="en-NZ" sz="1100">
              <a:solidFill>
                <a:sysClr val="windowText" lastClr="000000"/>
              </a:solidFill>
              <a:effectLst/>
              <a:latin typeface="+mn-lt"/>
              <a:ea typeface="Verdana" panose="020B0604030504040204" pitchFamily="34" charset="0"/>
              <a:cs typeface="+mn-cs"/>
            </a:rPr>
            <a:t> </a:t>
          </a:r>
        </a:p>
        <a:p>
          <a:pPr fontAlgn="base"/>
          <a:r>
            <a:rPr lang="en-NZ" sz="1100" u="none">
              <a:solidFill>
                <a:sysClr val="windowText" lastClr="000000"/>
              </a:solidFill>
              <a:effectLst/>
              <a:latin typeface="+mn-lt"/>
              <a:ea typeface="Verdana" panose="020B0604030504040204" pitchFamily="34" charset="0"/>
              <a:cs typeface="+mn-cs"/>
            </a:rPr>
            <a:t>Credits no longer available</a:t>
          </a:r>
        </a:p>
        <a:p>
          <a:pPr lvl="0" fontAlgn="base"/>
          <a:r>
            <a:rPr lang="en-NZ" sz="1100">
              <a:solidFill>
                <a:sysClr val="windowText" lastClr="000000"/>
              </a:solidFill>
              <a:effectLst/>
              <a:latin typeface="+mn-lt"/>
              <a:ea typeface="Verdana" panose="020B0604030504040204" pitchFamily="34" charset="0"/>
              <a:cs typeface="+mn-cs"/>
            </a:rPr>
            <a:t>- Child Tax Credit (CTC)</a:t>
          </a:r>
        </a:p>
        <a:p>
          <a:r>
            <a:rPr lang="en-NZ" sz="1100">
              <a:solidFill>
                <a:sysClr val="windowText" lastClr="000000"/>
              </a:solidFill>
              <a:effectLst/>
              <a:latin typeface="+mn-lt"/>
              <a:ea typeface="Verdana" panose="020B0604030504040204" pitchFamily="34" charset="0"/>
              <a:cs typeface="+mn-cs"/>
            </a:rPr>
            <a:t>- Parental Tax Credit (PTC)</a:t>
          </a:r>
        </a:p>
        <a:p>
          <a:endParaRPr lang="en-NZ" sz="1100">
            <a:solidFill>
              <a:sysClr val="windowText" lastClr="000000"/>
            </a:solidFill>
            <a:effectLst/>
            <a:latin typeface="+mn-lt"/>
            <a:ea typeface="Verdana" panose="020B0604030504040204" pitchFamily="34" charset="0"/>
            <a:cs typeface="+mn-cs"/>
          </a:endParaRPr>
        </a:p>
        <a:p>
          <a:endParaRPr lang="en-NZ" sz="1000" baseline="0">
            <a:solidFill>
              <a:sysClr val="windowText" lastClr="000000"/>
            </a:solidFill>
            <a:effectLst/>
            <a:latin typeface="+mn-lt"/>
            <a:ea typeface="Verdana" panose="020B0604030504040204" pitchFamily="34" charset="0"/>
            <a:cs typeface="+mn-cs"/>
          </a:endParaRPr>
        </a:p>
        <a:p>
          <a:endParaRPr lang="en-NZ" sz="1000">
            <a:latin typeface="Verdana" panose="020B0604030504040204" pitchFamily="34" charset="0"/>
            <a:ea typeface="Verdana" panose="020B060403050404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14287</xdr:rowOff>
    </xdr:from>
    <xdr:to>
      <xdr:col>14</xdr:col>
      <xdr:colOff>9524</xdr:colOff>
      <xdr:row>32</xdr:row>
      <xdr:rowOff>9525</xdr:rowOff>
    </xdr:to>
    <xdr:graphicFrame macro="">
      <xdr:nvGraphicFramePr>
        <xdr:cNvPr id="2" name="Chart 1">
          <a:extLst>
            <a:ext uri="{FF2B5EF4-FFF2-40B4-BE49-F238E27FC236}">
              <a16:creationId xmlns:a16="http://schemas.microsoft.com/office/drawing/2014/main" id="{30D36D10-691F-4739-92A2-6BEA33FAB5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33</xdr:row>
      <xdr:rowOff>66674</xdr:rowOff>
    </xdr:from>
    <xdr:to>
      <xdr:col>14</xdr:col>
      <xdr:colOff>9524</xdr:colOff>
      <xdr:row>64</xdr:row>
      <xdr:rowOff>166687</xdr:rowOff>
    </xdr:to>
    <xdr:graphicFrame macro="">
      <xdr:nvGraphicFramePr>
        <xdr:cNvPr id="3" name="Chart 2">
          <a:extLst>
            <a:ext uri="{FF2B5EF4-FFF2-40B4-BE49-F238E27FC236}">
              <a16:creationId xmlns:a16="http://schemas.microsoft.com/office/drawing/2014/main" id="{11216716-6B56-4074-9E1B-3700745A48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65</xdr:row>
      <xdr:rowOff>76200</xdr:rowOff>
    </xdr:from>
    <xdr:to>
      <xdr:col>14</xdr:col>
      <xdr:colOff>9524</xdr:colOff>
      <xdr:row>97</xdr:row>
      <xdr:rowOff>71438</xdr:rowOff>
    </xdr:to>
    <xdr:graphicFrame macro="">
      <xdr:nvGraphicFramePr>
        <xdr:cNvPr id="4" name="Chart 3">
          <a:extLst>
            <a:ext uri="{FF2B5EF4-FFF2-40B4-BE49-F238E27FC236}">
              <a16:creationId xmlns:a16="http://schemas.microsoft.com/office/drawing/2014/main" id="{32E49225-09AA-44A0-8947-A92230200D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3E4B7EC8-5DF5-4F52-BE6E-6BBBA091A1BE}" name="HistoricalWFFParameters" displayName="HistoricalWFFParameters" ref="A8:P39" totalsRowShown="0" headerRowDxfId="20" dataDxfId="18" totalsRowDxfId="16" headerRowBorderDxfId="19" tableBorderDxfId="17">
  <autoFilter ref="A8:P39" xr:uid="{3E4B7EC8-5DF5-4F52-BE6E-6BBBA091A1BE}"/>
  <tableColumns count="16">
    <tableColumn id="1" xr3:uid="{14859D33-16B4-47DC-B649-C5B9E581E090}" name="Income year" dataDxfId="15"/>
    <tableColumn id="3" xr3:uid="{85799C0A-38E8-4E50-A859-FDE920D5EABC}" name="Effective from" dataDxfId="14"/>
    <tableColumn id="4" xr3:uid="{74200F66-FC49-4EFF-90FF-57FAA201C9CC}" name="Effective to" dataDxfId="13"/>
    <tableColumn id="5" xr3:uid="{2CF0F51A-1F90-4F42-95E6-2A4100818BBE}" name="FTC eldest 16-18" dataDxfId="12"/>
    <tableColumn id="6" xr3:uid="{B530021A-F9FD-48A5-BACE-F2EB973BD983}" name="FTC eldest 0-15" dataDxfId="11"/>
    <tableColumn id="7" xr3:uid="{6C9CE61B-FDBD-4D16-AD3E-FC7C2C147265}" name="FTC other 16-18" dataDxfId="10"/>
    <tableColumn id="8" xr3:uid="{901C288C-C5DF-417E-B058-448D4A6566BA}" name="FTC other 13-15" dataDxfId="9"/>
    <tableColumn id="9" xr3:uid="{E281EDBE-7737-4B9A-AA1B-C7FB7269DF99}" name="FTC other 0-12" dataDxfId="8"/>
    <tableColumn id="12" xr3:uid="{EC9AAF1A-B0A1-4439-87FD-E14DCB33C8C3}" name="IWTC up to 3 children" dataDxfId="7"/>
    <tableColumn id="13" xr3:uid="{7EDEC377-BDF3-41C0-BE65-0D8AFE182AE0}" name="IWTC 4th and subsequent child" dataDxfId="6"/>
    <tableColumn id="14" xr3:uid="{DC8E0C10-FE16-48E7-A2B1-62CEE52F4BC1}" name="CTC each child" dataDxfId="5"/>
    <tableColumn id="15" xr3:uid="{F9B30BB7-4BFB-4686-BE6D-E8FE0226DCE9}" name="PTC" dataDxfId="4"/>
    <tableColumn id="22" xr3:uid="{4E05FE91-B214-4671-9ADE-CD2EBAFF85FF}" name="BSTC" dataDxfId="3"/>
    <tableColumn id="16" xr3:uid="{89B5F3F5-4341-4025-AEA2-7761C305439E}" name="MFTC after-tax income" dataDxfId="2"/>
    <tableColumn id="17" xr3:uid="{A36B93C7-98BA-43B7-AE54-3FE0FCE0C28D}" name="WFF abatement threshold" dataDxfId="1"/>
    <tableColumn id="18" xr3:uid="{9FB2E847-DACB-42C1-A3B1-A580C6D885B4}" name="WFF abatement rate" dataDxfId="0"/>
  </tableColumns>
  <tableStyleInfo name="TableStyleLight1" showFirstColumn="0" showLastColumn="0" showRowStripes="0"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ECAD0F-C28D-4A5D-8D21-5CD7B69B0B2B}">
  <sheetPr>
    <pageSetUpPr fitToPage="1"/>
  </sheetPr>
  <dimension ref="P1"/>
  <sheetViews>
    <sheetView tabSelected="1" zoomScale="110" zoomScaleNormal="110" workbookViewId="0">
      <selection activeCell="Q26" sqref="Q26"/>
    </sheetView>
  </sheetViews>
  <sheetFormatPr defaultRowHeight="15"/>
  <cols>
    <col min="1" max="16384" width="9.140625" style="1"/>
  </cols>
  <sheetData>
    <row r="1" spans="16:16">
      <c r="P1" s="18"/>
    </row>
  </sheetData>
  <pageMargins left="0.7" right="0.7" top="0.75" bottom="0.75" header="0.3" footer="0.3"/>
  <pageSetup paperSize="9" orientation="portrait" r:id="rId1"/>
  <headerFooter>
    <oddHeader>&amp;C&amp;"Verdana"&amp;10&amp;K000000[IN CONFIDENCE]&amp;1#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8B3EF-B131-4A64-8D73-B6EBE8A0184B}">
  <dimension ref="A2:P40"/>
  <sheetViews>
    <sheetView topLeftCell="L12" zoomScaleNormal="100" workbookViewId="0">
      <selection activeCell="O43" sqref="O43"/>
    </sheetView>
  </sheetViews>
  <sheetFormatPr defaultRowHeight="15"/>
  <cols>
    <col min="1" max="1" width="12" style="2" customWidth="1"/>
    <col min="2" max="3" width="14" style="1" customWidth="1"/>
    <col min="4" max="7" width="11" style="1" customWidth="1"/>
    <col min="8" max="8" width="9.28515625" style="1" customWidth="1"/>
    <col min="9" max="9" width="20" style="1" customWidth="1"/>
    <col min="10" max="10" width="22" style="1" customWidth="1"/>
    <col min="11" max="11" width="19.7109375" style="1" customWidth="1"/>
    <col min="12" max="13" width="28" style="1" customWidth="1"/>
    <col min="14" max="14" width="25" style="1" customWidth="1"/>
    <col min="15" max="15" width="22" style="1" customWidth="1"/>
    <col min="16" max="16" width="34.28515625" style="1" customWidth="1"/>
    <col min="17" max="16384" width="9.140625" style="1"/>
  </cols>
  <sheetData>
    <row r="2" spans="1:16" ht="27" customHeight="1">
      <c r="A2" s="17" t="s">
        <v>167</v>
      </c>
    </row>
    <row r="3" spans="1:16">
      <c r="A3" s="2" t="s">
        <v>177</v>
      </c>
    </row>
    <row r="4" spans="1:16">
      <c r="A4" s="2" t="s">
        <v>178</v>
      </c>
    </row>
    <row r="7" spans="1:16" ht="60">
      <c r="A7" s="4"/>
      <c r="B7" s="5"/>
      <c r="C7" s="5"/>
      <c r="D7" s="140" t="s">
        <v>84</v>
      </c>
      <c r="E7" s="140"/>
      <c r="F7" s="140"/>
      <c r="G7" s="140"/>
      <c r="H7" s="140"/>
      <c r="I7" s="140" t="s">
        <v>176</v>
      </c>
      <c r="J7" s="140"/>
      <c r="K7" s="5" t="s">
        <v>85</v>
      </c>
      <c r="L7" s="5" t="s">
        <v>164</v>
      </c>
      <c r="M7" s="5" t="s">
        <v>165</v>
      </c>
      <c r="N7" s="21" t="s">
        <v>172</v>
      </c>
      <c r="O7" s="140" t="s">
        <v>166</v>
      </c>
      <c r="P7" s="141"/>
    </row>
    <row r="8" spans="1:16" ht="31.5" customHeight="1">
      <c r="A8" s="6" t="s">
        <v>86</v>
      </c>
      <c r="B8" s="7" t="s">
        <v>87</v>
      </c>
      <c r="C8" s="7" t="s">
        <v>88</v>
      </c>
      <c r="D8" s="7" t="s">
        <v>89</v>
      </c>
      <c r="E8" s="7" t="s">
        <v>90</v>
      </c>
      <c r="F8" s="7" t="s">
        <v>91</v>
      </c>
      <c r="G8" s="7" t="s">
        <v>92</v>
      </c>
      <c r="H8" s="7" t="s">
        <v>93</v>
      </c>
      <c r="I8" s="7" t="s">
        <v>94</v>
      </c>
      <c r="J8" s="7" t="s">
        <v>95</v>
      </c>
      <c r="K8" s="7" t="s">
        <v>96</v>
      </c>
      <c r="L8" s="7" t="s">
        <v>4</v>
      </c>
      <c r="M8" s="7" t="s">
        <v>6</v>
      </c>
      <c r="N8" s="7" t="s">
        <v>97</v>
      </c>
      <c r="O8" s="7" t="s">
        <v>98</v>
      </c>
      <c r="P8" s="7" t="s">
        <v>99</v>
      </c>
    </row>
    <row r="9" spans="1:16">
      <c r="A9" s="8">
        <v>2001</v>
      </c>
      <c r="B9" s="9" t="s">
        <v>100</v>
      </c>
      <c r="C9" s="9" t="s">
        <v>101</v>
      </c>
      <c r="D9" s="10">
        <v>3120</v>
      </c>
      <c r="E9" s="10">
        <v>2444</v>
      </c>
      <c r="F9" s="10">
        <v>3120</v>
      </c>
      <c r="G9" s="10">
        <v>2080</v>
      </c>
      <c r="H9" s="10">
        <v>1664</v>
      </c>
      <c r="I9" s="10"/>
      <c r="J9" s="10"/>
      <c r="K9" s="10">
        <v>780</v>
      </c>
      <c r="L9" s="11">
        <v>1200</v>
      </c>
      <c r="M9" s="9"/>
      <c r="N9" s="10">
        <v>15080</v>
      </c>
      <c r="O9" s="10">
        <v>20000</v>
      </c>
      <c r="P9" s="9" t="s">
        <v>102</v>
      </c>
    </row>
    <row r="10" spans="1:16">
      <c r="A10" s="8">
        <v>2002</v>
      </c>
      <c r="B10" s="9" t="s">
        <v>103</v>
      </c>
      <c r="C10" s="9" t="s">
        <v>104</v>
      </c>
      <c r="D10" s="10">
        <v>3120</v>
      </c>
      <c r="E10" s="10">
        <v>2444</v>
      </c>
      <c r="F10" s="10">
        <v>3120</v>
      </c>
      <c r="G10" s="10">
        <v>2080</v>
      </c>
      <c r="H10" s="10">
        <v>1664</v>
      </c>
      <c r="I10" s="10"/>
      <c r="J10" s="10"/>
      <c r="K10" s="10">
        <v>780</v>
      </c>
      <c r="L10" s="11">
        <v>1200</v>
      </c>
      <c r="M10" s="9"/>
      <c r="N10" s="10">
        <v>15080</v>
      </c>
      <c r="O10" s="10">
        <v>20000</v>
      </c>
      <c r="P10" s="9" t="s">
        <v>102</v>
      </c>
    </row>
    <row r="11" spans="1:16">
      <c r="A11" s="8">
        <v>2003</v>
      </c>
      <c r="B11" s="9" t="s">
        <v>105</v>
      </c>
      <c r="C11" s="9" t="s">
        <v>106</v>
      </c>
      <c r="D11" s="10">
        <v>3120</v>
      </c>
      <c r="E11" s="10">
        <v>2444</v>
      </c>
      <c r="F11" s="10">
        <v>3120</v>
      </c>
      <c r="G11" s="10">
        <v>2080</v>
      </c>
      <c r="H11" s="10">
        <v>1664</v>
      </c>
      <c r="I11" s="10"/>
      <c r="J11" s="10"/>
      <c r="K11" s="10">
        <v>780</v>
      </c>
      <c r="L11" s="11">
        <v>1200</v>
      </c>
      <c r="M11" s="9"/>
      <c r="N11" s="10">
        <v>15080</v>
      </c>
      <c r="O11" s="10">
        <v>20000</v>
      </c>
      <c r="P11" s="9" t="s">
        <v>102</v>
      </c>
    </row>
    <row r="12" spans="1:16">
      <c r="A12" s="8">
        <v>2004</v>
      </c>
      <c r="B12" s="9" t="s">
        <v>107</v>
      </c>
      <c r="C12" s="9" t="s">
        <v>108</v>
      </c>
      <c r="D12" s="10">
        <v>3120</v>
      </c>
      <c r="E12" s="10">
        <v>2444</v>
      </c>
      <c r="F12" s="10">
        <v>3120</v>
      </c>
      <c r="G12" s="10">
        <v>2080</v>
      </c>
      <c r="H12" s="10">
        <v>1664</v>
      </c>
      <c r="I12" s="10"/>
      <c r="J12" s="10"/>
      <c r="K12" s="10">
        <v>780</v>
      </c>
      <c r="L12" s="11">
        <v>1200</v>
      </c>
      <c r="M12" s="9"/>
      <c r="N12" s="10">
        <v>15080</v>
      </c>
      <c r="O12" s="10">
        <v>20000</v>
      </c>
      <c r="P12" s="9" t="s">
        <v>102</v>
      </c>
    </row>
    <row r="13" spans="1:16">
      <c r="A13" s="8">
        <v>2005</v>
      </c>
      <c r="B13" s="9" t="s">
        <v>109</v>
      </c>
      <c r="C13" s="9" t="s">
        <v>110</v>
      </c>
      <c r="D13" s="10">
        <v>3120</v>
      </c>
      <c r="E13" s="10">
        <v>2444</v>
      </c>
      <c r="F13" s="10">
        <v>3120</v>
      </c>
      <c r="G13" s="10">
        <v>2080</v>
      </c>
      <c r="H13" s="10">
        <v>1664</v>
      </c>
      <c r="I13" s="10"/>
      <c r="J13" s="10"/>
      <c r="K13" s="10">
        <v>780</v>
      </c>
      <c r="L13" s="11">
        <v>1200</v>
      </c>
      <c r="M13" s="9"/>
      <c r="N13" s="10">
        <v>15080</v>
      </c>
      <c r="O13" s="10">
        <v>20356</v>
      </c>
      <c r="P13" s="9" t="s">
        <v>111</v>
      </c>
    </row>
    <row r="14" spans="1:16">
      <c r="A14" s="8">
        <v>2006</v>
      </c>
      <c r="B14" s="9" t="s">
        <v>112</v>
      </c>
      <c r="C14" s="9" t="s">
        <v>113</v>
      </c>
      <c r="D14" s="10">
        <v>4420</v>
      </c>
      <c r="E14" s="10">
        <v>3744</v>
      </c>
      <c r="F14" s="10">
        <v>3900</v>
      </c>
      <c r="G14" s="10">
        <v>2860</v>
      </c>
      <c r="H14" s="10">
        <v>2444</v>
      </c>
      <c r="I14" s="10"/>
      <c r="J14" s="10"/>
      <c r="K14" s="10">
        <v>780</v>
      </c>
      <c r="L14" s="11">
        <v>1200</v>
      </c>
      <c r="M14" s="9"/>
      <c r="N14" s="10">
        <v>15080</v>
      </c>
      <c r="O14" s="10">
        <v>20356</v>
      </c>
      <c r="P14" s="9" t="s">
        <v>111</v>
      </c>
    </row>
    <row r="15" spans="1:16">
      <c r="A15" s="8">
        <v>2007</v>
      </c>
      <c r="B15" s="9" t="s">
        <v>114</v>
      </c>
      <c r="C15" s="9" t="s">
        <v>115</v>
      </c>
      <c r="D15" s="10">
        <v>4420</v>
      </c>
      <c r="E15" s="10">
        <v>3744</v>
      </c>
      <c r="F15" s="10">
        <v>3900</v>
      </c>
      <c r="G15" s="10">
        <v>2860</v>
      </c>
      <c r="H15" s="10">
        <v>2444</v>
      </c>
      <c r="I15" s="10">
        <v>3120</v>
      </c>
      <c r="J15" s="10">
        <v>780</v>
      </c>
      <c r="K15" s="10"/>
      <c r="L15" s="11">
        <v>1200</v>
      </c>
      <c r="M15" s="9"/>
      <c r="N15" s="10">
        <v>17680</v>
      </c>
      <c r="O15" s="10">
        <v>35000</v>
      </c>
      <c r="P15" s="9" t="s">
        <v>116</v>
      </c>
    </row>
    <row r="16" spans="1:16">
      <c r="A16" s="8">
        <v>2008</v>
      </c>
      <c r="B16" s="9" t="s">
        <v>117</v>
      </c>
      <c r="C16" s="9" t="s">
        <v>118</v>
      </c>
      <c r="D16" s="10">
        <v>4940</v>
      </c>
      <c r="E16" s="10">
        <v>4264</v>
      </c>
      <c r="F16" s="10">
        <v>4420</v>
      </c>
      <c r="G16" s="10">
        <v>3380</v>
      </c>
      <c r="H16" s="10">
        <v>2964</v>
      </c>
      <c r="I16" s="10">
        <v>3120</v>
      </c>
      <c r="J16" s="10">
        <v>780</v>
      </c>
      <c r="K16" s="10"/>
      <c r="L16" s="11">
        <v>1200</v>
      </c>
      <c r="M16" s="9"/>
      <c r="N16" s="10">
        <v>18044</v>
      </c>
      <c r="O16" s="10">
        <v>35000</v>
      </c>
      <c r="P16" s="9" t="s">
        <v>116</v>
      </c>
    </row>
    <row r="17" spans="1:16">
      <c r="A17" s="8">
        <v>2009</v>
      </c>
      <c r="B17" s="9" t="s">
        <v>119</v>
      </c>
      <c r="C17" s="9" t="s">
        <v>168</v>
      </c>
      <c r="D17" s="10">
        <v>4940</v>
      </c>
      <c r="E17" s="10">
        <v>4264</v>
      </c>
      <c r="F17" s="10">
        <v>4420</v>
      </c>
      <c r="G17" s="10">
        <v>3380</v>
      </c>
      <c r="H17" s="10">
        <v>2964</v>
      </c>
      <c r="I17" s="10">
        <v>3120</v>
      </c>
      <c r="J17" s="10">
        <v>780</v>
      </c>
      <c r="K17" s="10"/>
      <c r="L17" s="11">
        <v>1200</v>
      </c>
      <c r="M17" s="9"/>
      <c r="N17" s="10">
        <v>18460</v>
      </c>
      <c r="O17" s="10">
        <v>35914</v>
      </c>
      <c r="P17" s="9" t="s">
        <v>116</v>
      </c>
    </row>
    <row r="18" spans="1:16">
      <c r="A18" s="8">
        <v>2009</v>
      </c>
      <c r="B18" s="9" t="s">
        <v>169</v>
      </c>
      <c r="C18" s="9" t="s">
        <v>120</v>
      </c>
      <c r="D18" s="10">
        <v>5198</v>
      </c>
      <c r="E18" s="10">
        <v>4487</v>
      </c>
      <c r="F18" s="10">
        <v>4651</v>
      </c>
      <c r="G18" s="10">
        <v>3557</v>
      </c>
      <c r="H18" s="10">
        <v>3119</v>
      </c>
      <c r="I18" s="10">
        <v>3120</v>
      </c>
      <c r="J18" s="10">
        <v>780</v>
      </c>
      <c r="K18" s="10"/>
      <c r="L18" s="11">
        <v>1200</v>
      </c>
      <c r="M18" s="9"/>
      <c r="N18" s="10">
        <v>18460</v>
      </c>
      <c r="O18" s="10">
        <v>35914</v>
      </c>
      <c r="P18" s="9" t="s">
        <v>116</v>
      </c>
    </row>
    <row r="19" spans="1:16">
      <c r="A19" s="8">
        <v>2010</v>
      </c>
      <c r="B19" s="9" t="s">
        <v>121</v>
      </c>
      <c r="C19" s="9" t="s">
        <v>122</v>
      </c>
      <c r="D19" s="10">
        <v>5198</v>
      </c>
      <c r="E19" s="10">
        <v>4487</v>
      </c>
      <c r="F19" s="10">
        <v>4651</v>
      </c>
      <c r="G19" s="10">
        <v>3557</v>
      </c>
      <c r="H19" s="10">
        <v>3119</v>
      </c>
      <c r="I19" s="10">
        <v>3120</v>
      </c>
      <c r="J19" s="10">
        <v>780</v>
      </c>
      <c r="K19" s="10"/>
      <c r="L19" s="11">
        <v>1200</v>
      </c>
      <c r="M19" s="9"/>
      <c r="N19" s="10">
        <v>20540</v>
      </c>
      <c r="O19" s="10">
        <v>36827</v>
      </c>
      <c r="P19" s="9" t="s">
        <v>116</v>
      </c>
    </row>
    <row r="20" spans="1:16">
      <c r="A20" s="8">
        <v>2011</v>
      </c>
      <c r="B20" s="9" t="s">
        <v>123</v>
      </c>
      <c r="C20" s="9" t="s">
        <v>170</v>
      </c>
      <c r="D20" s="10">
        <v>5198</v>
      </c>
      <c r="E20" s="10">
        <v>4487</v>
      </c>
      <c r="F20" s="10">
        <v>4651</v>
      </c>
      <c r="G20" s="10">
        <v>3557</v>
      </c>
      <c r="H20" s="10">
        <v>3119</v>
      </c>
      <c r="I20" s="10">
        <v>3120</v>
      </c>
      <c r="J20" s="10">
        <v>780</v>
      </c>
      <c r="K20" s="10"/>
      <c r="L20" s="11">
        <v>1200</v>
      </c>
      <c r="M20" s="9"/>
      <c r="N20" s="10">
        <v>20800</v>
      </c>
      <c r="O20" s="10">
        <v>36827</v>
      </c>
      <c r="P20" s="9" t="s">
        <v>116</v>
      </c>
    </row>
    <row r="21" spans="1:16">
      <c r="A21" s="8">
        <v>2011</v>
      </c>
      <c r="B21" s="9" t="s">
        <v>171</v>
      </c>
      <c r="C21" s="9" t="s">
        <v>124</v>
      </c>
      <c r="D21" s="10">
        <v>5303</v>
      </c>
      <c r="E21" s="10">
        <v>4578</v>
      </c>
      <c r="F21" s="10">
        <v>4745</v>
      </c>
      <c r="G21" s="10">
        <v>3629</v>
      </c>
      <c r="H21" s="10">
        <v>3182</v>
      </c>
      <c r="I21" s="10">
        <v>3120</v>
      </c>
      <c r="J21" s="10">
        <v>780</v>
      </c>
      <c r="K21" s="10"/>
      <c r="L21" s="11">
        <v>1200</v>
      </c>
      <c r="M21" s="9"/>
      <c r="N21" s="10">
        <v>21216</v>
      </c>
      <c r="O21" s="10">
        <v>36827</v>
      </c>
      <c r="P21" s="9" t="s">
        <v>116</v>
      </c>
    </row>
    <row r="22" spans="1:16">
      <c r="A22" s="8">
        <v>2012</v>
      </c>
      <c r="B22" s="9" t="s">
        <v>125</v>
      </c>
      <c r="C22" s="9" t="s">
        <v>126</v>
      </c>
      <c r="D22" s="10">
        <v>5303</v>
      </c>
      <c r="E22" s="10">
        <v>4578</v>
      </c>
      <c r="F22" s="10">
        <v>4745</v>
      </c>
      <c r="G22" s="10">
        <v>3629</v>
      </c>
      <c r="H22" s="10">
        <v>3182</v>
      </c>
      <c r="I22" s="10">
        <v>3120</v>
      </c>
      <c r="J22" s="10">
        <v>780</v>
      </c>
      <c r="K22" s="10"/>
      <c r="L22" s="11">
        <v>1200</v>
      </c>
      <c r="M22" s="9"/>
      <c r="N22" s="10">
        <v>22204</v>
      </c>
      <c r="O22" s="10">
        <v>36827</v>
      </c>
      <c r="P22" s="9" t="s">
        <v>116</v>
      </c>
    </row>
    <row r="23" spans="1:16">
      <c r="A23" s="8">
        <v>2013</v>
      </c>
      <c r="B23" s="9" t="s">
        <v>127</v>
      </c>
      <c r="C23" s="9" t="s">
        <v>128</v>
      </c>
      <c r="D23" s="10">
        <v>5303</v>
      </c>
      <c r="E23" s="10">
        <v>4822</v>
      </c>
      <c r="F23" s="10">
        <v>4745</v>
      </c>
      <c r="G23" s="10">
        <v>3822</v>
      </c>
      <c r="H23" s="10">
        <v>3351</v>
      </c>
      <c r="I23" s="10">
        <v>3120</v>
      </c>
      <c r="J23" s="10">
        <v>780</v>
      </c>
      <c r="K23" s="10"/>
      <c r="L23" s="11">
        <v>1200</v>
      </c>
      <c r="M23" s="9"/>
      <c r="N23" s="10">
        <v>22568</v>
      </c>
      <c r="O23" s="10">
        <v>36350</v>
      </c>
      <c r="P23" s="9" t="s">
        <v>131</v>
      </c>
    </row>
    <row r="24" spans="1:16">
      <c r="A24" s="8">
        <v>2014</v>
      </c>
      <c r="B24" s="9" t="s">
        <v>129</v>
      </c>
      <c r="C24" s="9" t="s">
        <v>130</v>
      </c>
      <c r="D24" s="10">
        <v>5303</v>
      </c>
      <c r="E24" s="10">
        <v>4822</v>
      </c>
      <c r="F24" s="10">
        <v>4745</v>
      </c>
      <c r="G24" s="10">
        <v>3822</v>
      </c>
      <c r="H24" s="10">
        <v>3351</v>
      </c>
      <c r="I24" s="10">
        <v>3120</v>
      </c>
      <c r="J24" s="10">
        <v>780</v>
      </c>
      <c r="K24" s="10"/>
      <c r="L24" s="11">
        <v>1200</v>
      </c>
      <c r="M24" s="9"/>
      <c r="N24" s="10">
        <v>22724</v>
      </c>
      <c r="O24" s="10">
        <v>36350</v>
      </c>
      <c r="P24" s="9" t="s">
        <v>131</v>
      </c>
    </row>
    <row r="25" spans="1:16">
      <c r="A25" s="8">
        <v>2015</v>
      </c>
      <c r="B25" s="9" t="s">
        <v>132</v>
      </c>
      <c r="C25" s="9" t="s">
        <v>133</v>
      </c>
      <c r="D25" s="10">
        <v>5303</v>
      </c>
      <c r="E25" s="10">
        <v>4822</v>
      </c>
      <c r="F25" s="10">
        <v>4745</v>
      </c>
      <c r="G25" s="10">
        <v>3822</v>
      </c>
      <c r="H25" s="10">
        <v>3351</v>
      </c>
      <c r="I25" s="10">
        <v>3120</v>
      </c>
      <c r="J25" s="10">
        <v>780</v>
      </c>
      <c r="K25" s="10"/>
      <c r="L25" s="11">
        <v>1200</v>
      </c>
      <c r="M25" s="9"/>
      <c r="N25" s="10">
        <v>22776</v>
      </c>
      <c r="O25" s="10">
        <v>36350</v>
      </c>
      <c r="P25" s="9" t="s">
        <v>131</v>
      </c>
    </row>
    <row r="26" spans="1:16">
      <c r="A26" s="8">
        <v>2016</v>
      </c>
      <c r="B26" s="9" t="s">
        <v>134</v>
      </c>
      <c r="C26" s="9" t="s">
        <v>135</v>
      </c>
      <c r="D26" s="10">
        <v>5303</v>
      </c>
      <c r="E26" s="10">
        <v>4822</v>
      </c>
      <c r="F26" s="10">
        <v>4745</v>
      </c>
      <c r="G26" s="10">
        <v>3822</v>
      </c>
      <c r="H26" s="10">
        <v>3351</v>
      </c>
      <c r="I26" s="10">
        <v>3120</v>
      </c>
      <c r="J26" s="10">
        <v>780</v>
      </c>
      <c r="K26" s="10"/>
      <c r="L26" s="11">
        <v>2200</v>
      </c>
      <c r="M26" s="9"/>
      <c r="N26" s="10">
        <v>23036</v>
      </c>
      <c r="O26" s="10">
        <v>36350</v>
      </c>
      <c r="P26" s="9" t="s">
        <v>131</v>
      </c>
    </row>
    <row r="27" spans="1:16">
      <c r="A27" s="8">
        <v>2017</v>
      </c>
      <c r="B27" s="9" t="s">
        <v>136</v>
      </c>
      <c r="C27" s="9" t="s">
        <v>137</v>
      </c>
      <c r="D27" s="10">
        <v>5303</v>
      </c>
      <c r="E27" s="10">
        <v>4822</v>
      </c>
      <c r="F27" s="10">
        <v>4745</v>
      </c>
      <c r="G27" s="10">
        <v>3822</v>
      </c>
      <c r="H27" s="10">
        <v>3351</v>
      </c>
      <c r="I27" s="10">
        <v>3770</v>
      </c>
      <c r="J27" s="10">
        <v>780</v>
      </c>
      <c r="K27" s="10"/>
      <c r="L27" s="11">
        <v>2200</v>
      </c>
      <c r="M27" s="9"/>
      <c r="N27" s="10">
        <v>23764</v>
      </c>
      <c r="O27" s="10">
        <v>36350</v>
      </c>
      <c r="P27" s="9" t="s">
        <v>138</v>
      </c>
    </row>
    <row r="28" spans="1:16">
      <c r="A28" s="8">
        <v>2018</v>
      </c>
      <c r="B28" s="9" t="s">
        <v>139</v>
      </c>
      <c r="C28" s="9" t="s">
        <v>140</v>
      </c>
      <c r="D28" s="10">
        <v>5303</v>
      </c>
      <c r="E28" s="10">
        <v>4822</v>
      </c>
      <c r="F28" s="10">
        <v>4745</v>
      </c>
      <c r="G28" s="10">
        <v>3822</v>
      </c>
      <c r="H28" s="10">
        <v>3351</v>
      </c>
      <c r="I28" s="10">
        <v>3770</v>
      </c>
      <c r="J28" s="10">
        <v>780</v>
      </c>
      <c r="K28" s="10"/>
      <c r="L28" s="11">
        <v>2200</v>
      </c>
      <c r="M28" s="9"/>
      <c r="N28" s="10">
        <v>23816</v>
      </c>
      <c r="O28" s="10">
        <v>36350</v>
      </c>
      <c r="P28" s="9" t="s">
        <v>138</v>
      </c>
    </row>
    <row r="29" spans="1:16">
      <c r="A29" s="8">
        <v>2019</v>
      </c>
      <c r="B29" s="9" t="s">
        <v>141</v>
      </c>
      <c r="C29" s="9" t="s">
        <v>142</v>
      </c>
      <c r="D29" s="10">
        <v>5303</v>
      </c>
      <c r="E29" s="10">
        <v>4822</v>
      </c>
      <c r="F29" s="10">
        <v>4745</v>
      </c>
      <c r="G29" s="10">
        <v>3822</v>
      </c>
      <c r="H29" s="10">
        <v>3351</v>
      </c>
      <c r="I29" s="10">
        <v>3770</v>
      </c>
      <c r="J29" s="10">
        <v>780</v>
      </c>
      <c r="K29" s="10"/>
      <c r="L29" s="11">
        <v>2200</v>
      </c>
      <c r="M29" s="9"/>
      <c r="N29" s="10">
        <v>26156</v>
      </c>
      <c r="O29" s="10">
        <v>36350</v>
      </c>
      <c r="P29" s="9" t="s">
        <v>138</v>
      </c>
    </row>
    <row r="30" spans="1:16">
      <c r="A30" s="8"/>
      <c r="B30" s="9"/>
      <c r="C30" s="9"/>
      <c r="D30" s="12" t="s">
        <v>143</v>
      </c>
      <c r="E30" s="10"/>
      <c r="F30" s="12" t="s">
        <v>173</v>
      </c>
      <c r="G30" s="10"/>
      <c r="H30" s="10"/>
      <c r="I30" s="10"/>
      <c r="J30" s="10"/>
      <c r="K30" s="10"/>
      <c r="L30" s="9"/>
      <c r="M30" s="9"/>
      <c r="N30" s="10"/>
      <c r="O30" s="10"/>
      <c r="P30" s="9"/>
    </row>
    <row r="31" spans="1:16">
      <c r="A31" s="8">
        <v>2019</v>
      </c>
      <c r="B31" s="9" t="s">
        <v>144</v>
      </c>
      <c r="C31" s="9" t="s">
        <v>145</v>
      </c>
      <c r="D31" s="10">
        <v>5878</v>
      </c>
      <c r="E31" s="10"/>
      <c r="F31" s="10">
        <v>4745</v>
      </c>
      <c r="G31" s="10"/>
      <c r="H31" s="10"/>
      <c r="I31" s="10">
        <v>3770</v>
      </c>
      <c r="J31" s="10">
        <v>780</v>
      </c>
      <c r="K31" s="10"/>
      <c r="L31" s="11"/>
      <c r="M31" s="11">
        <v>3120</v>
      </c>
      <c r="N31" s="10">
        <v>26156</v>
      </c>
      <c r="O31" s="10">
        <v>42700</v>
      </c>
      <c r="P31" s="9" t="s">
        <v>146</v>
      </c>
    </row>
    <row r="32" spans="1:16">
      <c r="A32" s="8">
        <v>2020</v>
      </c>
      <c r="B32" s="9" t="s">
        <v>147</v>
      </c>
      <c r="C32" s="9" t="s">
        <v>148</v>
      </c>
      <c r="D32" s="10">
        <v>5878</v>
      </c>
      <c r="E32" s="10"/>
      <c r="F32" s="10">
        <v>4745</v>
      </c>
      <c r="G32" s="10"/>
      <c r="H32" s="10"/>
      <c r="I32" s="10">
        <v>3770</v>
      </c>
      <c r="J32" s="10">
        <v>780</v>
      </c>
      <c r="K32" s="10"/>
      <c r="L32" s="9"/>
      <c r="M32" s="11">
        <v>3120</v>
      </c>
      <c r="N32" s="10">
        <v>26572</v>
      </c>
      <c r="O32" s="10">
        <v>42700</v>
      </c>
      <c r="P32" s="9" t="s">
        <v>146</v>
      </c>
    </row>
    <row r="33" spans="1:16">
      <c r="A33" s="8">
        <v>2021</v>
      </c>
      <c r="B33" s="9" t="s">
        <v>149</v>
      </c>
      <c r="C33" s="9" t="s">
        <v>150</v>
      </c>
      <c r="D33" s="10">
        <v>5878</v>
      </c>
      <c r="E33" s="10"/>
      <c r="F33" s="10">
        <v>4745</v>
      </c>
      <c r="G33" s="10"/>
      <c r="H33" s="10"/>
      <c r="I33" s="10">
        <v>3770</v>
      </c>
      <c r="J33" s="10">
        <v>780</v>
      </c>
      <c r="K33" s="10"/>
      <c r="L33" s="9"/>
      <c r="M33" s="11">
        <v>3120</v>
      </c>
      <c r="N33" s="10">
        <v>29432</v>
      </c>
      <c r="O33" s="10">
        <v>42700</v>
      </c>
      <c r="P33" s="9" t="s">
        <v>146</v>
      </c>
    </row>
    <row r="34" spans="1:16">
      <c r="A34" s="8">
        <v>2022</v>
      </c>
      <c r="B34" s="9" t="s">
        <v>151</v>
      </c>
      <c r="C34" s="9" t="s">
        <v>152</v>
      </c>
      <c r="D34" s="10">
        <v>5878</v>
      </c>
      <c r="E34" s="10"/>
      <c r="F34" s="10">
        <v>4745</v>
      </c>
      <c r="G34" s="10"/>
      <c r="H34" s="10"/>
      <c r="I34" s="10">
        <v>3770</v>
      </c>
      <c r="J34" s="10">
        <v>780</v>
      </c>
      <c r="K34" s="10"/>
      <c r="L34" s="9"/>
      <c r="M34" s="11">
        <v>3120</v>
      </c>
      <c r="N34" s="10">
        <v>30576</v>
      </c>
      <c r="O34" s="10">
        <v>42700</v>
      </c>
      <c r="P34" s="9" t="s">
        <v>146</v>
      </c>
    </row>
    <row r="35" spans="1:16">
      <c r="A35" s="8">
        <v>2022</v>
      </c>
      <c r="B35" s="9" t="s">
        <v>153</v>
      </c>
      <c r="C35" s="9" t="s">
        <v>154</v>
      </c>
      <c r="D35" s="10">
        <v>5878</v>
      </c>
      <c r="E35" s="10"/>
      <c r="F35" s="10">
        <v>4745</v>
      </c>
      <c r="G35" s="10"/>
      <c r="H35" s="10"/>
      <c r="I35" s="10">
        <v>3770</v>
      </c>
      <c r="J35" s="10">
        <v>780</v>
      </c>
      <c r="K35" s="10"/>
      <c r="L35" s="9"/>
      <c r="M35" s="11">
        <v>3120</v>
      </c>
      <c r="N35" s="10">
        <v>31096</v>
      </c>
      <c r="O35" s="10">
        <v>42700</v>
      </c>
      <c r="P35" s="9" t="s">
        <v>146</v>
      </c>
    </row>
    <row r="36" spans="1:16">
      <c r="A36" s="8">
        <v>2023</v>
      </c>
      <c r="B36" s="9" t="s">
        <v>155</v>
      </c>
      <c r="C36" s="9" t="s">
        <v>156</v>
      </c>
      <c r="D36" s="10">
        <v>6642</v>
      </c>
      <c r="E36" s="10"/>
      <c r="F36" s="10">
        <v>5412</v>
      </c>
      <c r="G36" s="10"/>
      <c r="H36" s="10"/>
      <c r="I36" s="10">
        <v>3770</v>
      </c>
      <c r="J36" s="10">
        <v>780</v>
      </c>
      <c r="K36" s="10"/>
      <c r="L36" s="9"/>
      <c r="M36" s="11">
        <v>3388</v>
      </c>
      <c r="N36" s="10">
        <v>32864</v>
      </c>
      <c r="O36" s="10">
        <v>42700</v>
      </c>
      <c r="P36" s="9" t="s">
        <v>157</v>
      </c>
    </row>
    <row r="37" spans="1:16">
      <c r="A37" s="8">
        <v>2024</v>
      </c>
      <c r="B37" s="9" t="s">
        <v>158</v>
      </c>
      <c r="C37" s="9" t="s">
        <v>159</v>
      </c>
      <c r="D37" s="10">
        <v>7121</v>
      </c>
      <c r="E37" s="10"/>
      <c r="F37" s="10">
        <v>5802</v>
      </c>
      <c r="G37" s="10"/>
      <c r="H37" s="10"/>
      <c r="I37" s="10">
        <v>3770</v>
      </c>
      <c r="J37" s="10">
        <v>780</v>
      </c>
      <c r="K37" s="10"/>
      <c r="L37" s="9"/>
      <c r="M37" s="11">
        <v>3632</v>
      </c>
      <c r="N37" s="10">
        <v>34216</v>
      </c>
      <c r="O37" s="10">
        <v>42700</v>
      </c>
      <c r="P37" s="9" t="s">
        <v>157</v>
      </c>
    </row>
    <row r="38" spans="1:16">
      <c r="A38" s="8">
        <v>2025</v>
      </c>
      <c r="B38" s="9" t="s">
        <v>160</v>
      </c>
      <c r="C38" s="9" t="s">
        <v>161</v>
      </c>
      <c r="D38" s="10">
        <v>7524</v>
      </c>
      <c r="E38" s="10"/>
      <c r="F38" s="10">
        <v>6130</v>
      </c>
      <c r="G38" s="10"/>
      <c r="H38" s="10"/>
      <c r="I38" s="10">
        <v>3770</v>
      </c>
      <c r="J38" s="10">
        <v>780</v>
      </c>
      <c r="K38" s="10"/>
      <c r="L38" s="9"/>
      <c r="M38" s="11">
        <v>3838</v>
      </c>
      <c r="N38" s="10">
        <v>35204</v>
      </c>
      <c r="O38" s="10">
        <v>42700</v>
      </c>
      <c r="P38" s="9" t="s">
        <v>157</v>
      </c>
    </row>
    <row r="39" spans="1:16">
      <c r="A39" s="13">
        <v>2025</v>
      </c>
      <c r="B39" s="14" t="s">
        <v>162</v>
      </c>
      <c r="C39" s="14" t="s">
        <v>163</v>
      </c>
      <c r="D39" s="15">
        <v>7524</v>
      </c>
      <c r="E39" s="15"/>
      <c r="F39" s="15">
        <v>6130</v>
      </c>
      <c r="G39" s="15"/>
      <c r="H39" s="15"/>
      <c r="I39" s="20">
        <v>5070</v>
      </c>
      <c r="J39" s="15">
        <v>780</v>
      </c>
      <c r="K39" s="15"/>
      <c r="L39" s="14"/>
      <c r="M39" s="16">
        <v>3838</v>
      </c>
      <c r="N39" s="15">
        <v>35316</v>
      </c>
      <c r="O39" s="15">
        <v>42700</v>
      </c>
      <c r="P39" s="14" t="s">
        <v>157</v>
      </c>
    </row>
    <row r="40" spans="1:16">
      <c r="I40" s="19"/>
    </row>
  </sheetData>
  <mergeCells count="3">
    <mergeCell ref="D7:H7"/>
    <mergeCell ref="I7:J7"/>
    <mergeCell ref="O7:P7"/>
  </mergeCell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96ADF-E647-406F-8C75-161EBD476207}">
  <dimension ref="R37"/>
  <sheetViews>
    <sheetView topLeftCell="A30" zoomScaleNormal="100" workbookViewId="0">
      <selection activeCell="R39" sqref="R39"/>
    </sheetView>
  </sheetViews>
  <sheetFormatPr defaultRowHeight="15"/>
  <cols>
    <col min="1" max="16384" width="9.140625" style="1"/>
  </cols>
  <sheetData>
    <row r="37" spans="18:18">
      <c r="R37" s="3"/>
    </row>
  </sheetData>
  <pageMargins left="0.7" right="0.7" top="0.75" bottom="0.75" header="0.3" footer="0.3"/>
  <pageSetup paperSize="9" orientation="portrait" r:id="rId1"/>
  <headerFooter>
    <oddHeader>&amp;C&amp;"Verdana"&amp;10&amp;K000000[IN CONFIDENCE]&amp;1#</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DE3BF3-3206-413F-8A78-7E745F841F0C}">
  <dimension ref="A1:R108"/>
  <sheetViews>
    <sheetView topLeftCell="A70" zoomScaleNormal="100" workbookViewId="0">
      <selection activeCell="N79" sqref="N79"/>
    </sheetView>
  </sheetViews>
  <sheetFormatPr defaultColWidth="9.140625" defaultRowHeight="12.75"/>
  <cols>
    <col min="1" max="1" width="11.7109375" style="91" customWidth="1"/>
    <col min="2" max="9" width="13.42578125" style="67" customWidth="1"/>
    <col min="10" max="10" width="9.140625" style="67"/>
    <col min="11" max="11" width="11.42578125" style="67" customWidth="1"/>
    <col min="12" max="13" width="9.140625" style="67"/>
    <col min="14" max="14" width="11" style="67" bestFit="1" customWidth="1"/>
    <col min="15" max="15" width="13.42578125" style="67" customWidth="1"/>
    <col min="16" max="16" width="12.7109375" style="67" customWidth="1"/>
    <col min="17" max="17" width="9.140625" style="67"/>
    <col min="18" max="18" width="23.28515625" style="67" bestFit="1" customWidth="1"/>
    <col min="19" max="16384" width="9.140625" style="67"/>
  </cols>
  <sheetData>
    <row r="1" spans="1:11" s="127" customFormat="1" ht="15">
      <c r="A1" s="126" t="s">
        <v>179</v>
      </c>
    </row>
    <row r="3" spans="1:11" ht="38.25">
      <c r="A3" s="62" t="s">
        <v>0</v>
      </c>
      <c r="B3" s="63" t="s">
        <v>1</v>
      </c>
      <c r="C3" s="64" t="s">
        <v>2</v>
      </c>
      <c r="D3" s="64" t="s">
        <v>3</v>
      </c>
      <c r="E3" s="64" t="s">
        <v>4</v>
      </c>
      <c r="F3" s="64" t="s">
        <v>5</v>
      </c>
      <c r="G3" s="64" t="s">
        <v>6</v>
      </c>
      <c r="H3" s="65" t="s">
        <v>7</v>
      </c>
      <c r="I3" s="66" t="s">
        <v>8</v>
      </c>
    </row>
    <row r="4" spans="1:11">
      <c r="A4" s="68">
        <v>36951</v>
      </c>
      <c r="B4" s="69">
        <v>277.39999999999998</v>
      </c>
      <c r="C4" s="69">
        <v>119.8</v>
      </c>
      <c r="D4" s="69">
        <v>3.7</v>
      </c>
      <c r="E4" s="69">
        <v>20.100000000000001</v>
      </c>
      <c r="F4" s="70" t="s">
        <v>9</v>
      </c>
      <c r="G4" s="70" t="s">
        <v>9</v>
      </c>
      <c r="H4" s="69">
        <v>300.10000000000002</v>
      </c>
      <c r="I4" s="71"/>
    </row>
    <row r="5" spans="1:11">
      <c r="A5" s="72">
        <v>37316</v>
      </c>
      <c r="B5" s="73">
        <v>271.5</v>
      </c>
      <c r="C5" s="73">
        <v>121.5</v>
      </c>
      <c r="D5" s="73">
        <v>3</v>
      </c>
      <c r="E5" s="73">
        <v>20.9</v>
      </c>
      <c r="F5" s="74" t="s">
        <v>9</v>
      </c>
      <c r="G5" s="74" t="s">
        <v>9</v>
      </c>
      <c r="H5" s="73">
        <v>295.7</v>
      </c>
      <c r="I5" s="75">
        <v>-1.4661779406864528E-2</v>
      </c>
    </row>
    <row r="6" spans="1:11">
      <c r="A6" s="72">
        <v>37681</v>
      </c>
      <c r="B6" s="73">
        <v>264.5</v>
      </c>
      <c r="C6" s="73">
        <v>122.7</v>
      </c>
      <c r="D6" s="73">
        <v>2.4</v>
      </c>
      <c r="E6" s="73">
        <v>17.899999999999999</v>
      </c>
      <c r="F6" s="74" t="s">
        <v>9</v>
      </c>
      <c r="G6" s="74" t="s">
        <v>9</v>
      </c>
      <c r="H6" s="73">
        <v>288.5</v>
      </c>
      <c r="I6" s="75">
        <v>-2.4349002367264116E-2</v>
      </c>
    </row>
    <row r="7" spans="1:11">
      <c r="A7" s="72">
        <v>38047</v>
      </c>
      <c r="B7" s="73">
        <v>259.89999999999998</v>
      </c>
      <c r="C7" s="73">
        <v>117.5</v>
      </c>
      <c r="D7" s="73">
        <v>1.5</v>
      </c>
      <c r="E7" s="73">
        <v>14.2</v>
      </c>
      <c r="F7" s="74" t="s">
        <v>9</v>
      </c>
      <c r="G7" s="74" t="s">
        <v>9</v>
      </c>
      <c r="H7" s="73">
        <v>279.10000000000002</v>
      </c>
      <c r="I7" s="75">
        <v>-3.2582322357018967E-2</v>
      </c>
    </row>
    <row r="8" spans="1:11">
      <c r="A8" s="72">
        <v>38412</v>
      </c>
      <c r="B8" s="73">
        <v>245.4</v>
      </c>
      <c r="C8" s="73">
        <v>116.7</v>
      </c>
      <c r="D8" s="73">
        <v>1</v>
      </c>
      <c r="E8" s="73">
        <v>12.1</v>
      </c>
      <c r="F8" s="74" t="s">
        <v>9</v>
      </c>
      <c r="G8" s="74" t="s">
        <v>9</v>
      </c>
      <c r="H8" s="73">
        <v>268.39999999999998</v>
      </c>
      <c r="I8" s="75">
        <v>-3.8337513436044635E-2</v>
      </c>
    </row>
    <row r="9" spans="1:11">
      <c r="A9" s="72">
        <v>38777</v>
      </c>
      <c r="B9" s="73">
        <v>268.89999999999998</v>
      </c>
      <c r="C9" s="73">
        <v>150.1</v>
      </c>
      <c r="D9" s="73">
        <v>1</v>
      </c>
      <c r="E9" s="73">
        <v>13.8</v>
      </c>
      <c r="F9" s="74" t="s">
        <v>9</v>
      </c>
      <c r="G9" s="74" t="s">
        <v>9</v>
      </c>
      <c r="H9" s="73">
        <v>290.10000000000002</v>
      </c>
      <c r="I9" s="75">
        <v>8.0849478390462082E-2</v>
      </c>
    </row>
    <row r="10" spans="1:11">
      <c r="A10" s="72">
        <v>39142</v>
      </c>
      <c r="B10" s="73">
        <v>345.7</v>
      </c>
      <c r="C10" s="73">
        <v>26.3</v>
      </c>
      <c r="D10" s="73">
        <v>3</v>
      </c>
      <c r="E10" s="73">
        <v>16.600000000000001</v>
      </c>
      <c r="F10" s="73">
        <v>209.6</v>
      </c>
      <c r="G10" s="74" t="s">
        <v>9</v>
      </c>
      <c r="H10" s="73">
        <v>380.3</v>
      </c>
      <c r="I10" s="75">
        <v>0.31092726645984148</v>
      </c>
    </row>
    <row r="11" spans="1:11">
      <c r="A11" s="72">
        <v>39508</v>
      </c>
      <c r="B11" s="73">
        <v>352.9</v>
      </c>
      <c r="C11" s="73">
        <v>13.9</v>
      </c>
      <c r="D11" s="73">
        <v>2.5</v>
      </c>
      <c r="E11" s="73">
        <v>17.5</v>
      </c>
      <c r="F11" s="73">
        <v>238.4</v>
      </c>
      <c r="G11" s="74" t="s">
        <v>9</v>
      </c>
      <c r="H11" s="73">
        <v>389.5</v>
      </c>
      <c r="I11" s="75">
        <v>2.4191427820142053E-2</v>
      </c>
    </row>
    <row r="12" spans="1:11">
      <c r="A12" s="72">
        <v>39873</v>
      </c>
      <c r="B12" s="73">
        <v>365.8</v>
      </c>
      <c r="C12" s="73">
        <v>8.4</v>
      </c>
      <c r="D12" s="73">
        <v>2.2999999999999998</v>
      </c>
      <c r="E12" s="73">
        <v>18.2</v>
      </c>
      <c r="F12" s="73">
        <v>251.9</v>
      </c>
      <c r="G12" s="74" t="s">
        <v>9</v>
      </c>
      <c r="H12" s="73">
        <v>402.8</v>
      </c>
      <c r="I12" s="75">
        <v>3.4146341463414664E-2</v>
      </c>
    </row>
    <row r="13" spans="1:11">
      <c r="A13" s="72">
        <v>40238</v>
      </c>
      <c r="B13" s="73">
        <v>376.3</v>
      </c>
      <c r="C13" s="73">
        <v>5.4</v>
      </c>
      <c r="D13" s="73">
        <v>2.8</v>
      </c>
      <c r="E13" s="73">
        <v>16.600000000000001</v>
      </c>
      <c r="F13" s="73">
        <v>252.9</v>
      </c>
      <c r="G13" s="74" t="s">
        <v>9</v>
      </c>
      <c r="H13" s="73">
        <v>415.1</v>
      </c>
      <c r="I13" s="75">
        <v>3.0536246276067658E-2</v>
      </c>
    </row>
    <row r="14" spans="1:11">
      <c r="A14" s="72">
        <v>40603</v>
      </c>
      <c r="B14" s="73">
        <v>391.9</v>
      </c>
      <c r="C14" s="73">
        <v>3.9</v>
      </c>
      <c r="D14" s="73">
        <v>3</v>
      </c>
      <c r="E14" s="73">
        <v>18.100000000000001</v>
      </c>
      <c r="F14" s="73">
        <v>246.5</v>
      </c>
      <c r="G14" s="74" t="s">
        <v>9</v>
      </c>
      <c r="H14" s="73">
        <v>421.2</v>
      </c>
      <c r="I14" s="75">
        <v>1.4695254155625115E-2</v>
      </c>
    </row>
    <row r="15" spans="1:11">
      <c r="A15" s="72">
        <v>40969</v>
      </c>
      <c r="B15" s="73">
        <v>356.8</v>
      </c>
      <c r="C15" s="73">
        <v>2.5</v>
      </c>
      <c r="D15" s="73">
        <v>3.7</v>
      </c>
      <c r="E15" s="73">
        <v>15.7</v>
      </c>
      <c r="F15" s="73">
        <v>238.6</v>
      </c>
      <c r="G15" s="74" t="s">
        <v>9</v>
      </c>
      <c r="H15" s="73">
        <v>398.7</v>
      </c>
      <c r="I15" s="75">
        <v>-5.3418803418803451E-2</v>
      </c>
      <c r="J15" s="76"/>
      <c r="K15" s="77"/>
    </row>
    <row r="16" spans="1:11">
      <c r="A16" s="72">
        <v>41334</v>
      </c>
      <c r="B16" s="73">
        <v>338.3</v>
      </c>
      <c r="C16" s="73">
        <v>1.9</v>
      </c>
      <c r="D16" s="73">
        <v>3.7</v>
      </c>
      <c r="E16" s="73">
        <v>14.7</v>
      </c>
      <c r="F16" s="73">
        <v>226.5</v>
      </c>
      <c r="G16" s="74" t="s">
        <v>9</v>
      </c>
      <c r="H16" s="73">
        <v>379</v>
      </c>
      <c r="I16" s="75">
        <v>-4.9410584399297686E-2</v>
      </c>
      <c r="J16" s="76"/>
    </row>
    <row r="17" spans="1:11">
      <c r="A17" s="72">
        <v>41699</v>
      </c>
      <c r="B17" s="73">
        <v>323</v>
      </c>
      <c r="C17" s="73">
        <v>1.3</v>
      </c>
      <c r="D17" s="73">
        <v>4.4000000000000004</v>
      </c>
      <c r="E17" s="73">
        <v>17.100000000000001</v>
      </c>
      <c r="F17" s="73">
        <v>221.7</v>
      </c>
      <c r="G17" s="74" t="s">
        <v>9</v>
      </c>
      <c r="H17" s="73">
        <v>364</v>
      </c>
      <c r="I17" s="75">
        <v>-3.9577836411609502E-2</v>
      </c>
      <c r="J17" s="76"/>
      <c r="K17" s="78"/>
    </row>
    <row r="18" spans="1:11">
      <c r="A18" s="72">
        <v>42064</v>
      </c>
      <c r="B18" s="73">
        <v>310.7</v>
      </c>
      <c r="C18" s="73">
        <v>1</v>
      </c>
      <c r="D18" s="73">
        <v>5.2</v>
      </c>
      <c r="E18" s="73">
        <v>14.7</v>
      </c>
      <c r="F18" s="73">
        <v>217.8</v>
      </c>
      <c r="G18" s="74" t="s">
        <v>9</v>
      </c>
      <c r="H18" s="73">
        <v>349.8</v>
      </c>
      <c r="I18" s="75">
        <v>-3.9010989010988983E-2</v>
      </c>
      <c r="J18" s="76"/>
      <c r="K18" s="78"/>
    </row>
    <row r="19" spans="1:11">
      <c r="A19" s="72">
        <v>42430</v>
      </c>
      <c r="B19" s="73">
        <v>300.3</v>
      </c>
      <c r="C19" s="73">
        <v>0.5</v>
      </c>
      <c r="D19" s="73">
        <v>4.0999999999999996</v>
      </c>
      <c r="E19" s="73">
        <v>13.7</v>
      </c>
      <c r="F19" s="73">
        <v>214</v>
      </c>
      <c r="G19" s="74" t="s">
        <v>9</v>
      </c>
      <c r="H19" s="73">
        <v>338.7</v>
      </c>
      <c r="I19" s="75">
        <v>-3.1732418524871409E-2</v>
      </c>
      <c r="J19" s="76"/>
      <c r="K19" s="78"/>
    </row>
    <row r="20" spans="1:11">
      <c r="A20" s="72">
        <v>42795</v>
      </c>
      <c r="B20" s="73">
        <v>284.39999999999998</v>
      </c>
      <c r="C20" s="73">
        <v>0.2</v>
      </c>
      <c r="D20" s="73">
        <v>3.3</v>
      </c>
      <c r="E20" s="73">
        <v>12.8</v>
      </c>
      <c r="F20" s="73">
        <v>207.6</v>
      </c>
      <c r="G20" s="74" t="s">
        <v>9</v>
      </c>
      <c r="H20" s="73">
        <v>326.10000000000002</v>
      </c>
      <c r="I20" s="75">
        <v>-3.7201062887511016E-2</v>
      </c>
      <c r="J20" s="76"/>
      <c r="K20" s="78"/>
    </row>
    <row r="21" spans="1:11">
      <c r="A21" s="72">
        <v>43160</v>
      </c>
      <c r="B21" s="73">
        <v>279.09300000000002</v>
      </c>
      <c r="C21" s="73">
        <v>0</v>
      </c>
      <c r="D21" s="73">
        <v>3.0950000000000002</v>
      </c>
      <c r="E21" s="73">
        <v>12.435</v>
      </c>
      <c r="F21" s="73">
        <v>202.52199999999999</v>
      </c>
      <c r="G21" s="74" t="s">
        <v>9</v>
      </c>
      <c r="H21" s="73">
        <v>322.88799999999998</v>
      </c>
      <c r="I21" s="75">
        <v>-9.8497393437597669E-3</v>
      </c>
      <c r="J21" s="79"/>
      <c r="K21" s="78"/>
    </row>
    <row r="22" spans="1:11">
      <c r="A22" s="72">
        <v>43525</v>
      </c>
      <c r="B22" s="73">
        <v>296.39999999999998</v>
      </c>
      <c r="C22" s="73">
        <v>0</v>
      </c>
      <c r="D22" s="73">
        <v>3.2</v>
      </c>
      <c r="E22" s="73">
        <v>4.4000000000000004</v>
      </c>
      <c r="F22" s="73">
        <v>210.3</v>
      </c>
      <c r="G22" s="73">
        <v>34.200000000000003</v>
      </c>
      <c r="H22" s="73">
        <v>337.4</v>
      </c>
      <c r="I22" s="75">
        <v>4.4944376997596791E-2</v>
      </c>
      <c r="J22" s="79"/>
      <c r="K22" s="78"/>
    </row>
    <row r="23" spans="1:11">
      <c r="A23" s="72">
        <v>43891</v>
      </c>
      <c r="B23" s="73">
        <v>287.89999999999998</v>
      </c>
      <c r="C23" s="73" t="s">
        <v>9</v>
      </c>
      <c r="D23" s="73">
        <v>4</v>
      </c>
      <c r="E23" s="74" t="s">
        <v>9</v>
      </c>
      <c r="F23" s="73">
        <v>197.2</v>
      </c>
      <c r="G23" s="73">
        <v>88.4</v>
      </c>
      <c r="H23" s="73">
        <v>355.7</v>
      </c>
      <c r="I23" s="75">
        <v>5.4238292827504475E-2</v>
      </c>
      <c r="J23" s="79" t="s">
        <v>13</v>
      </c>
      <c r="K23" s="78"/>
    </row>
    <row r="24" spans="1:11">
      <c r="A24" s="72">
        <v>44256</v>
      </c>
      <c r="B24" s="73">
        <v>279.3</v>
      </c>
      <c r="C24" s="73" t="s">
        <v>9</v>
      </c>
      <c r="D24" s="73">
        <v>3.3</v>
      </c>
      <c r="E24" s="74" t="s">
        <v>9</v>
      </c>
      <c r="F24" s="73">
        <v>187.9</v>
      </c>
      <c r="G24" s="73">
        <v>117.3</v>
      </c>
      <c r="H24" s="73">
        <v>352.7</v>
      </c>
      <c r="I24" s="75">
        <v>-8.4340736575766462E-3</v>
      </c>
      <c r="J24" s="67" t="s">
        <v>13</v>
      </c>
      <c r="K24" s="78"/>
    </row>
    <row r="25" spans="1:11">
      <c r="A25" s="72">
        <v>44621</v>
      </c>
      <c r="B25" s="73">
        <v>266</v>
      </c>
      <c r="C25" s="73" t="s">
        <v>9</v>
      </c>
      <c r="D25" s="73">
        <v>3.2</v>
      </c>
      <c r="E25" s="74" t="s">
        <v>9</v>
      </c>
      <c r="F25" s="73">
        <v>173.5</v>
      </c>
      <c r="G25" s="73">
        <v>139.19999999999999</v>
      </c>
      <c r="H25" s="73">
        <v>345.7</v>
      </c>
      <c r="I25" s="75">
        <v>-1.98468953785087E-2</v>
      </c>
      <c r="J25" s="67" t="s">
        <v>13</v>
      </c>
      <c r="K25" s="80"/>
    </row>
    <row r="26" spans="1:11">
      <c r="A26" s="72">
        <v>44986</v>
      </c>
      <c r="B26" s="73">
        <v>258.2</v>
      </c>
      <c r="C26" s="73" t="s">
        <v>9</v>
      </c>
      <c r="D26" s="73">
        <v>3</v>
      </c>
      <c r="E26" s="74" t="s">
        <v>9</v>
      </c>
      <c r="F26" s="73">
        <v>163.69999999999999</v>
      </c>
      <c r="G26" s="73">
        <v>142.6</v>
      </c>
      <c r="H26" s="73">
        <v>337.7</v>
      </c>
      <c r="I26" s="75">
        <v>-2.3141452126120954E-2</v>
      </c>
      <c r="J26" s="67" t="s">
        <v>13</v>
      </c>
      <c r="K26" s="80"/>
    </row>
    <row r="27" spans="1:11">
      <c r="A27" s="72">
        <v>45352</v>
      </c>
      <c r="B27" s="73">
        <v>254.1</v>
      </c>
      <c r="C27" s="73" t="s">
        <v>9</v>
      </c>
      <c r="D27" s="73">
        <v>2.6</v>
      </c>
      <c r="E27" s="74" t="s">
        <v>9</v>
      </c>
      <c r="F27" s="73">
        <v>152.69999999999999</v>
      </c>
      <c r="G27" s="73">
        <v>138</v>
      </c>
      <c r="H27" s="73">
        <v>330.6</v>
      </c>
      <c r="I27" s="75">
        <v>-2.1024578027835306E-2</v>
      </c>
      <c r="J27" s="67" t="s">
        <v>13</v>
      </c>
      <c r="K27" s="78"/>
    </row>
    <row r="28" spans="1:11">
      <c r="A28" s="81">
        <v>45717</v>
      </c>
      <c r="B28" s="82">
        <v>255.4</v>
      </c>
      <c r="C28" s="82" t="s">
        <v>9</v>
      </c>
      <c r="D28" s="82">
        <v>2.2999999999999998</v>
      </c>
      <c r="E28" s="83" t="s">
        <v>9</v>
      </c>
      <c r="F28" s="82">
        <v>152.5</v>
      </c>
      <c r="G28" s="82">
        <v>137.6</v>
      </c>
      <c r="H28" s="82">
        <v>336.5</v>
      </c>
      <c r="I28" s="84">
        <v>1.784633998790075E-2</v>
      </c>
      <c r="J28" s="79" t="s">
        <v>37</v>
      </c>
      <c r="K28" s="78"/>
    </row>
    <row r="29" spans="1:11" s="87" customFormat="1">
      <c r="A29" s="85"/>
      <c r="B29" s="86"/>
      <c r="D29" s="86"/>
      <c r="F29" s="86"/>
      <c r="G29" s="88"/>
      <c r="H29" s="86"/>
      <c r="I29" s="89"/>
      <c r="J29" s="90"/>
    </row>
    <row r="30" spans="1:11">
      <c r="A30" s="91" t="s">
        <v>10</v>
      </c>
      <c r="B30" s="92"/>
      <c r="C30" s="92"/>
      <c r="D30" s="92"/>
      <c r="E30" s="92"/>
      <c r="F30" s="92"/>
      <c r="G30" s="92"/>
    </row>
    <row r="31" spans="1:11">
      <c r="A31" s="91" t="s">
        <v>11</v>
      </c>
    </row>
    <row r="33" spans="1:9" s="127" customFormat="1" ht="15">
      <c r="A33" s="126" t="s">
        <v>180</v>
      </c>
    </row>
    <row r="34" spans="1:9">
      <c r="A34" s="67"/>
    </row>
    <row r="35" spans="1:9" ht="63.75">
      <c r="A35" s="93" t="s">
        <v>0</v>
      </c>
      <c r="B35" s="65" t="s">
        <v>182</v>
      </c>
      <c r="C35" s="65" t="s">
        <v>183</v>
      </c>
      <c r="D35" s="65" t="s">
        <v>184</v>
      </c>
      <c r="E35" s="65" t="s">
        <v>185</v>
      </c>
      <c r="F35" s="65" t="s">
        <v>186</v>
      </c>
      <c r="G35" s="65" t="s">
        <v>187</v>
      </c>
      <c r="H35" s="65" t="s">
        <v>188</v>
      </c>
      <c r="I35" s="66" t="s">
        <v>8</v>
      </c>
    </row>
    <row r="36" spans="1:9">
      <c r="A36" s="68">
        <v>36951</v>
      </c>
      <c r="B36" s="94">
        <v>3074.6</v>
      </c>
      <c r="C36" s="95">
        <v>1295.5</v>
      </c>
      <c r="D36" s="95">
        <v>2459.5</v>
      </c>
      <c r="E36" s="95">
        <v>990</v>
      </c>
      <c r="F36" s="74" t="s">
        <v>9</v>
      </c>
      <c r="G36" s="74" t="s">
        <v>9</v>
      </c>
      <c r="H36" s="95">
        <v>3455.8</v>
      </c>
      <c r="I36" s="96"/>
    </row>
    <row r="37" spans="1:9">
      <c r="A37" s="72">
        <v>37316</v>
      </c>
      <c r="B37" s="94">
        <v>3080.7</v>
      </c>
      <c r="C37" s="95">
        <v>1226.3</v>
      </c>
      <c r="D37" s="95">
        <v>2366.6999999999998</v>
      </c>
      <c r="E37" s="95">
        <v>961.7</v>
      </c>
      <c r="F37" s="74" t="s">
        <v>9</v>
      </c>
      <c r="G37" s="74" t="s">
        <v>9</v>
      </c>
      <c r="H37" s="95">
        <v>3424.4</v>
      </c>
      <c r="I37" s="75">
        <v>-9.0861739684009457E-3</v>
      </c>
    </row>
    <row r="38" spans="1:9">
      <c r="A38" s="72">
        <v>37681</v>
      </c>
      <c r="B38" s="94">
        <v>3107.4</v>
      </c>
      <c r="C38" s="95">
        <v>1245.3</v>
      </c>
      <c r="D38" s="95">
        <v>2208.3000000000002</v>
      </c>
      <c r="E38" s="95">
        <v>966.5</v>
      </c>
      <c r="F38" s="74" t="s">
        <v>9</v>
      </c>
      <c r="G38" s="74" t="s">
        <v>9</v>
      </c>
      <c r="H38" s="95">
        <v>3456.8</v>
      </c>
      <c r="I38" s="75">
        <v>9.461511505665321E-3</v>
      </c>
    </row>
    <row r="39" spans="1:9">
      <c r="A39" s="72">
        <v>38047</v>
      </c>
      <c r="B39" s="94">
        <v>3135.4</v>
      </c>
      <c r="C39" s="95">
        <v>1234.9000000000001</v>
      </c>
      <c r="D39" s="95">
        <v>2933.3</v>
      </c>
      <c r="E39" s="95">
        <v>985.9</v>
      </c>
      <c r="F39" s="74" t="s">
        <v>9</v>
      </c>
      <c r="G39" s="74" t="s">
        <v>9</v>
      </c>
      <c r="H39" s="95">
        <v>3505.6</v>
      </c>
      <c r="I39" s="75">
        <v>1.4117102522564151E-2</v>
      </c>
    </row>
    <row r="40" spans="1:9">
      <c r="A40" s="72">
        <v>38412</v>
      </c>
      <c r="B40" s="94">
        <v>3161.8</v>
      </c>
      <c r="C40" s="95">
        <v>1219.4000000000001</v>
      </c>
      <c r="D40" s="95">
        <v>2400</v>
      </c>
      <c r="E40" s="95">
        <v>958.7</v>
      </c>
      <c r="F40" s="74" t="s">
        <v>9</v>
      </c>
      <c r="G40" s="74" t="s">
        <v>9</v>
      </c>
      <c r="H40" s="95">
        <v>3473.2</v>
      </c>
      <c r="I40" s="75">
        <v>-9.2423550890005091E-3</v>
      </c>
    </row>
    <row r="41" spans="1:9">
      <c r="A41" s="72">
        <v>38777</v>
      </c>
      <c r="B41" s="94">
        <v>4574.8999999999996</v>
      </c>
      <c r="C41" s="95">
        <v>1227.2</v>
      </c>
      <c r="D41" s="95">
        <v>1800</v>
      </c>
      <c r="E41" s="95">
        <v>978.3</v>
      </c>
      <c r="F41" s="74" t="s">
        <v>9</v>
      </c>
      <c r="G41" s="74" t="s">
        <v>9</v>
      </c>
      <c r="H41" s="95">
        <v>4928.3</v>
      </c>
      <c r="I41" s="75">
        <v>0.41895082344811718</v>
      </c>
    </row>
    <row r="42" spans="1:9">
      <c r="A42" s="72">
        <v>39142</v>
      </c>
      <c r="B42" s="94">
        <v>4661</v>
      </c>
      <c r="C42" s="95">
        <v>1171.0999999999999</v>
      </c>
      <c r="D42" s="95">
        <v>2900</v>
      </c>
      <c r="E42" s="95">
        <v>1096.4000000000001</v>
      </c>
      <c r="F42" s="95">
        <v>2556.8000000000002</v>
      </c>
      <c r="G42" s="74" t="s">
        <v>9</v>
      </c>
      <c r="H42" s="95">
        <v>5797.8</v>
      </c>
      <c r="I42" s="75">
        <v>0.17643000629020156</v>
      </c>
    </row>
    <row r="43" spans="1:9">
      <c r="A43" s="72">
        <v>39508</v>
      </c>
      <c r="B43" s="94">
        <v>5337.2</v>
      </c>
      <c r="C43" s="95">
        <v>1302.2</v>
      </c>
      <c r="D43" s="95">
        <v>2600</v>
      </c>
      <c r="E43" s="95">
        <v>1091.4000000000001</v>
      </c>
      <c r="F43" s="95">
        <v>2560.8000000000002</v>
      </c>
      <c r="G43" s="74" t="s">
        <v>9</v>
      </c>
      <c r="H43" s="95">
        <v>6515.3</v>
      </c>
      <c r="I43" s="75">
        <v>0.12375383766256176</v>
      </c>
    </row>
    <row r="44" spans="1:9">
      <c r="A44" s="72">
        <v>39873</v>
      </c>
      <c r="B44" s="94">
        <v>5422.4</v>
      </c>
      <c r="C44" s="95">
        <v>1261.9000000000001</v>
      </c>
      <c r="D44" s="95">
        <v>2913</v>
      </c>
      <c r="E44" s="95">
        <v>1049.5</v>
      </c>
      <c r="F44" s="95">
        <v>2558.1999999999998</v>
      </c>
      <c r="G44" s="74" t="s">
        <v>9</v>
      </c>
      <c r="H44" s="95">
        <v>6614.7</v>
      </c>
      <c r="I44" s="75">
        <v>1.5256396482126622E-2</v>
      </c>
    </row>
    <row r="45" spans="1:9">
      <c r="A45" s="72">
        <v>40238</v>
      </c>
      <c r="B45" s="94">
        <v>5511</v>
      </c>
      <c r="C45" s="95">
        <v>1222.2</v>
      </c>
      <c r="D45" s="95">
        <v>2892.9</v>
      </c>
      <c r="E45" s="95">
        <v>1006</v>
      </c>
      <c r="F45" s="95">
        <v>2555.1999999999998</v>
      </c>
      <c r="G45" s="74" t="s">
        <v>9</v>
      </c>
      <c r="H45" s="95">
        <v>6628.3</v>
      </c>
      <c r="I45" s="75">
        <v>2.056026728347593E-3</v>
      </c>
    </row>
    <row r="46" spans="1:9">
      <c r="A46" s="72">
        <v>40603</v>
      </c>
      <c r="B46" s="94">
        <v>5257.7</v>
      </c>
      <c r="C46" s="95">
        <v>1230.8</v>
      </c>
      <c r="D46" s="95">
        <v>3233.3</v>
      </c>
      <c r="E46" s="95">
        <v>1027.5999999999999</v>
      </c>
      <c r="F46" s="95">
        <v>2551.3000000000002</v>
      </c>
      <c r="G46" s="74" t="s">
        <v>9</v>
      </c>
      <c r="H46" s="95">
        <v>6463.7</v>
      </c>
      <c r="I46" s="75">
        <v>-2.4832913416713231E-2</v>
      </c>
    </row>
    <row r="47" spans="1:9">
      <c r="A47" s="72">
        <v>40969</v>
      </c>
      <c r="B47" s="94">
        <v>5574.3</v>
      </c>
      <c r="C47" s="95">
        <v>1320</v>
      </c>
      <c r="D47" s="95">
        <v>3486.5</v>
      </c>
      <c r="E47" s="95">
        <v>1051</v>
      </c>
      <c r="F47" s="95">
        <v>2493.3000000000002</v>
      </c>
      <c r="G47" s="74" t="s">
        <v>9</v>
      </c>
      <c r="H47" s="95">
        <v>6562.6</v>
      </c>
      <c r="I47" s="75">
        <v>1.5300833887711418E-2</v>
      </c>
    </row>
    <row r="48" spans="1:9">
      <c r="A48" s="72">
        <v>41334</v>
      </c>
      <c r="B48" s="94">
        <v>5792.7874667454917</v>
      </c>
      <c r="C48" s="95">
        <v>1210.5263157894738</v>
      </c>
      <c r="D48" s="95">
        <v>4108.1081081081084</v>
      </c>
      <c r="E48" s="95">
        <v>986.39455782312916</v>
      </c>
      <c r="F48" s="95">
        <v>2470.1986754966888</v>
      </c>
      <c r="G48" s="74" t="s">
        <v>9</v>
      </c>
      <c r="H48" s="95">
        <v>6731.3984168865436</v>
      </c>
      <c r="I48" s="75">
        <v>2.5721271582382466E-2</v>
      </c>
    </row>
    <row r="49" spans="1:18">
      <c r="A49" s="72">
        <v>41699</v>
      </c>
      <c r="B49" s="94">
        <v>5785.448916408669</v>
      </c>
      <c r="C49" s="95">
        <v>1153.8461538461538</v>
      </c>
      <c r="D49" s="95">
        <v>3704.545454545454</v>
      </c>
      <c r="E49" s="95">
        <v>1064.327485380117</v>
      </c>
      <c r="F49" s="95">
        <v>2451.5110509697793</v>
      </c>
      <c r="G49" s="74" t="s">
        <v>9</v>
      </c>
      <c r="H49" s="95">
        <v>6725.8241758241757</v>
      </c>
      <c r="I49" s="75">
        <v>-8.2809554822727005E-4</v>
      </c>
    </row>
    <row r="50" spans="1:18">
      <c r="A50" s="72">
        <v>42064</v>
      </c>
      <c r="B50" s="94">
        <v>5798.5194721596399</v>
      </c>
      <c r="C50" s="95">
        <v>1000</v>
      </c>
      <c r="D50" s="95">
        <v>3653.8461538461538</v>
      </c>
      <c r="E50" s="95">
        <v>1034.0136054421771</v>
      </c>
      <c r="F50" s="95">
        <v>2485.3076216712579</v>
      </c>
      <c r="G50" s="74" t="s">
        <v>9</v>
      </c>
      <c r="H50" s="95">
        <v>6798.4562607204116</v>
      </c>
      <c r="I50" s="75">
        <v>1.0798986562466251E-2</v>
      </c>
    </row>
    <row r="51" spans="1:18">
      <c r="A51" s="72">
        <v>42430</v>
      </c>
      <c r="B51" s="94">
        <v>5754.2457542457541</v>
      </c>
      <c r="C51" s="95">
        <v>800</v>
      </c>
      <c r="D51" s="95">
        <v>3682.9268292682937</v>
      </c>
      <c r="E51" s="95">
        <v>1766.4233576642337</v>
      </c>
      <c r="F51" s="95">
        <v>2455.1401869158885</v>
      </c>
      <c r="G51" s="74" t="s">
        <v>9</v>
      </c>
      <c r="H51" s="95">
        <v>6770.2981989961636</v>
      </c>
      <c r="I51" s="75">
        <v>-4.1418317106689528E-3</v>
      </c>
    </row>
    <row r="52" spans="1:18">
      <c r="A52" s="72">
        <v>42795</v>
      </c>
      <c r="B52" s="94">
        <v>5731.7158931082986</v>
      </c>
      <c r="C52" s="95">
        <v>1000</v>
      </c>
      <c r="D52" s="95">
        <v>3636.3636363636365</v>
      </c>
      <c r="E52" s="95">
        <v>1812.5000000000002</v>
      </c>
      <c r="F52" s="95">
        <v>2908.4778420038542</v>
      </c>
      <c r="G52" s="74" t="s">
        <v>9</v>
      </c>
      <c r="H52" s="95">
        <v>6958.9083103342527</v>
      </c>
      <c r="I52" s="75">
        <v>2.7858464397632288E-2</v>
      </c>
    </row>
    <row r="53" spans="1:18">
      <c r="A53" s="72">
        <v>43160</v>
      </c>
      <c r="B53" s="94">
        <v>5806.9580784899654</v>
      </c>
      <c r="C53" s="95" t="s">
        <v>9</v>
      </c>
      <c r="D53" s="95">
        <v>3349.1582358642972</v>
      </c>
      <c r="E53" s="95">
        <v>1871.8526135906716</v>
      </c>
      <c r="F53" s="95">
        <v>2884.6569706007249</v>
      </c>
      <c r="G53" s="74" t="s">
        <v>9</v>
      </c>
      <c r="H53" s="95">
        <v>6931.013258467332</v>
      </c>
      <c r="I53" s="75">
        <v>-4.0085384981284333E-3</v>
      </c>
      <c r="J53" s="79"/>
    </row>
    <row r="54" spans="1:18">
      <c r="A54" s="72">
        <v>43525</v>
      </c>
      <c r="B54" s="94">
        <v>6829</v>
      </c>
      <c r="C54" s="95" t="s">
        <v>9</v>
      </c>
      <c r="D54" s="95">
        <v>4167</v>
      </c>
      <c r="E54" s="95">
        <v>1737</v>
      </c>
      <c r="F54" s="95">
        <v>2969</v>
      </c>
      <c r="G54" s="95">
        <v>933</v>
      </c>
      <c r="H54" s="95">
        <v>7922.6</v>
      </c>
      <c r="I54" s="75">
        <v>0.14306519184929956</v>
      </c>
      <c r="J54" s="79"/>
    </row>
    <row r="55" spans="1:18">
      <c r="A55" s="72">
        <v>43891</v>
      </c>
      <c r="B55" s="97">
        <v>7496</v>
      </c>
      <c r="C55" s="95" t="s">
        <v>9</v>
      </c>
      <c r="D55" s="97">
        <v>3500</v>
      </c>
      <c r="E55" s="98" t="s">
        <v>9</v>
      </c>
      <c r="F55" s="97">
        <v>3068</v>
      </c>
      <c r="G55" s="97">
        <v>1810</v>
      </c>
      <c r="H55" s="97">
        <v>8257</v>
      </c>
      <c r="I55" s="75">
        <v>4.2208365940473946E-2</v>
      </c>
      <c r="J55" s="67" t="s">
        <v>13</v>
      </c>
      <c r="K55" s="99"/>
      <c r="L55" s="99"/>
      <c r="M55" s="99"/>
      <c r="N55" s="99"/>
      <c r="O55" s="99"/>
      <c r="P55" s="99"/>
      <c r="Q55" s="99"/>
      <c r="R55" s="99"/>
    </row>
    <row r="56" spans="1:18">
      <c r="A56" s="72">
        <v>44256</v>
      </c>
      <c r="B56" s="97">
        <v>7487</v>
      </c>
      <c r="C56" s="97" t="s">
        <v>9</v>
      </c>
      <c r="D56" s="97">
        <v>3939</v>
      </c>
      <c r="E56" s="98" t="s">
        <v>9</v>
      </c>
      <c r="F56" s="97">
        <v>2975</v>
      </c>
      <c r="G56" s="97">
        <v>2114</v>
      </c>
      <c r="H56" s="97">
        <v>8256</v>
      </c>
      <c r="I56" s="75">
        <v>-1.2110936175369069E-4</v>
      </c>
      <c r="J56" s="67" t="s">
        <v>13</v>
      </c>
      <c r="K56" s="99"/>
      <c r="L56" s="99"/>
      <c r="M56" s="99"/>
      <c r="N56" s="99"/>
      <c r="O56" s="99"/>
      <c r="P56" s="99"/>
      <c r="Q56" s="99"/>
      <c r="R56" s="99"/>
    </row>
    <row r="57" spans="1:18">
      <c r="A57" s="72">
        <v>44621</v>
      </c>
      <c r="B57" s="97">
        <v>7432</v>
      </c>
      <c r="C57" s="97" t="s">
        <v>9</v>
      </c>
      <c r="D57" s="97">
        <v>4063</v>
      </c>
      <c r="E57" s="98" t="s">
        <v>9</v>
      </c>
      <c r="F57" s="97">
        <v>2939</v>
      </c>
      <c r="G57" s="97">
        <v>2141</v>
      </c>
      <c r="H57" s="97">
        <v>8094</v>
      </c>
      <c r="I57" s="75">
        <v>-1.9622093023255793E-2</v>
      </c>
      <c r="J57" s="67" t="s">
        <v>13</v>
      </c>
      <c r="K57" s="99"/>
      <c r="L57" s="99"/>
      <c r="M57" s="99"/>
      <c r="N57" s="99"/>
      <c r="O57" s="99"/>
      <c r="P57" s="99"/>
      <c r="Q57" s="99"/>
      <c r="R57" s="99"/>
    </row>
    <row r="58" spans="1:18">
      <c r="A58" s="72">
        <v>44986</v>
      </c>
      <c r="B58" s="97">
        <v>8373</v>
      </c>
      <c r="C58" s="97" t="s">
        <v>9</v>
      </c>
      <c r="D58" s="97">
        <v>4333</v>
      </c>
      <c r="E58" s="98" t="s">
        <v>9</v>
      </c>
      <c r="F58" s="97">
        <v>2902</v>
      </c>
      <c r="G58" s="97">
        <v>2195</v>
      </c>
      <c r="H58" s="97">
        <v>8774</v>
      </c>
      <c r="I58" s="75">
        <v>8.4012849023968439E-2</v>
      </c>
      <c r="J58" s="67" t="s">
        <v>13</v>
      </c>
      <c r="K58" s="99"/>
      <c r="L58" s="99"/>
      <c r="M58" s="99"/>
      <c r="N58" s="99"/>
      <c r="O58" s="99"/>
      <c r="P58" s="99"/>
      <c r="Q58" s="99"/>
      <c r="R58" s="99"/>
    </row>
    <row r="59" spans="1:18">
      <c r="A59" s="72">
        <v>45352</v>
      </c>
      <c r="B59" s="97">
        <v>8993</v>
      </c>
      <c r="C59" s="97" t="s">
        <v>9</v>
      </c>
      <c r="D59" s="97">
        <v>4615</v>
      </c>
      <c r="E59" s="98" t="s">
        <v>9</v>
      </c>
      <c r="F59" s="97">
        <v>2901</v>
      </c>
      <c r="G59" s="97">
        <v>2333</v>
      </c>
      <c r="H59" s="97">
        <v>9259</v>
      </c>
      <c r="I59" s="75">
        <v>5.52769546387053E-2</v>
      </c>
      <c r="J59" s="67" t="s">
        <v>13</v>
      </c>
      <c r="K59" s="99"/>
      <c r="L59" s="99"/>
      <c r="M59" s="99"/>
      <c r="N59" s="99"/>
      <c r="O59" s="99"/>
      <c r="P59" s="99"/>
      <c r="Q59" s="99"/>
      <c r="R59" s="99"/>
    </row>
    <row r="60" spans="1:18">
      <c r="A60" s="81">
        <v>45717</v>
      </c>
      <c r="B60" s="100">
        <v>9518</v>
      </c>
      <c r="C60" s="100" t="s">
        <v>9</v>
      </c>
      <c r="D60" s="100">
        <v>4783</v>
      </c>
      <c r="E60" s="101" t="s">
        <v>9</v>
      </c>
      <c r="F60" s="100">
        <v>3489</v>
      </c>
      <c r="G60" s="100">
        <v>2427</v>
      </c>
      <c r="H60" s="100">
        <v>9828</v>
      </c>
      <c r="I60" s="84">
        <v>6.1453720704179648E-2</v>
      </c>
      <c r="J60" s="102" t="s">
        <v>37</v>
      </c>
      <c r="K60" s="99"/>
      <c r="L60" s="99"/>
      <c r="M60" s="99"/>
      <c r="N60" s="99"/>
      <c r="O60" s="99"/>
      <c r="P60" s="99"/>
      <c r="Q60" s="99"/>
      <c r="R60" s="99"/>
    </row>
    <row r="61" spans="1:18">
      <c r="B61" s="95"/>
      <c r="C61" s="95"/>
      <c r="D61" s="95"/>
      <c r="E61" s="95"/>
      <c r="F61" s="95"/>
      <c r="G61" s="95"/>
      <c r="H61" s="95"/>
      <c r="I61" s="103"/>
    </row>
    <row r="63" spans="1:18" s="127" customFormat="1" ht="15">
      <c r="A63" s="126" t="s">
        <v>181</v>
      </c>
    </row>
    <row r="65" spans="1:9" ht="25.5">
      <c r="A65" s="93" t="s">
        <v>0</v>
      </c>
      <c r="B65" s="64" t="s">
        <v>1</v>
      </c>
      <c r="C65" s="64" t="s">
        <v>2</v>
      </c>
      <c r="D65" s="64" t="s">
        <v>3</v>
      </c>
      <c r="E65" s="64" t="s">
        <v>4</v>
      </c>
      <c r="F65" s="64" t="s">
        <v>5</v>
      </c>
      <c r="G65" s="64" t="s">
        <v>6</v>
      </c>
      <c r="H65" s="64" t="s">
        <v>12</v>
      </c>
      <c r="I65" s="66" t="s">
        <v>8</v>
      </c>
    </row>
    <row r="66" spans="1:9">
      <c r="A66" s="68">
        <v>36951</v>
      </c>
      <c r="B66" s="94">
        <v>852.90000000000009</v>
      </c>
      <c r="C66" s="95">
        <v>155.19999999999999</v>
      </c>
      <c r="D66" s="95">
        <v>9.1000000000000014</v>
      </c>
      <c r="E66" s="95">
        <v>19.899999999999999</v>
      </c>
      <c r="F66" s="74" t="s">
        <v>9</v>
      </c>
      <c r="G66" s="74" t="s">
        <v>9</v>
      </c>
      <c r="H66" s="95">
        <v>1037.0999999999999</v>
      </c>
      <c r="I66" s="96"/>
    </row>
    <row r="67" spans="1:9">
      <c r="A67" s="72">
        <v>37316</v>
      </c>
      <c r="B67" s="94">
        <v>836.4</v>
      </c>
      <c r="C67" s="95">
        <v>149</v>
      </c>
      <c r="D67" s="95">
        <v>7.1000000000000005</v>
      </c>
      <c r="E67" s="95">
        <v>20.100000000000001</v>
      </c>
      <c r="F67" s="74" t="s">
        <v>9</v>
      </c>
      <c r="G67" s="74" t="s">
        <v>9</v>
      </c>
      <c r="H67" s="95">
        <v>1012.6</v>
      </c>
      <c r="I67" s="75">
        <v>-2.3623565712081684E-2</v>
      </c>
    </row>
    <row r="68" spans="1:9">
      <c r="A68" s="72">
        <v>37681</v>
      </c>
      <c r="B68" s="94">
        <v>821.90000000000009</v>
      </c>
      <c r="C68" s="95">
        <v>152.80000000000001</v>
      </c>
      <c r="D68" s="95">
        <v>5.3</v>
      </c>
      <c r="E68" s="95">
        <v>17.3</v>
      </c>
      <c r="F68" s="74" t="s">
        <v>9</v>
      </c>
      <c r="G68" s="74" t="s">
        <v>9</v>
      </c>
      <c r="H68" s="95">
        <v>997.30000000000018</v>
      </c>
      <c r="I68" s="75">
        <v>-1.5109618803081037E-2</v>
      </c>
    </row>
    <row r="69" spans="1:9">
      <c r="A69" s="72">
        <v>38047</v>
      </c>
      <c r="B69" s="94">
        <v>814.90000000000009</v>
      </c>
      <c r="C69" s="95">
        <v>145.1</v>
      </c>
      <c r="D69" s="95">
        <v>4.4000000000000004</v>
      </c>
      <c r="E69" s="95">
        <v>14</v>
      </c>
      <c r="F69" s="74" t="s">
        <v>9</v>
      </c>
      <c r="G69" s="74" t="s">
        <v>9</v>
      </c>
      <c r="H69" s="95">
        <v>978.40000000000009</v>
      </c>
      <c r="I69" s="75">
        <v>-1.8951168154015985E-2</v>
      </c>
    </row>
    <row r="70" spans="1:9">
      <c r="A70" s="72">
        <v>38412</v>
      </c>
      <c r="B70" s="94">
        <v>775.9</v>
      </c>
      <c r="C70" s="95">
        <v>142.30000000000001</v>
      </c>
      <c r="D70" s="95">
        <v>2.4</v>
      </c>
      <c r="E70" s="95">
        <v>11.6</v>
      </c>
      <c r="F70" s="74" t="s">
        <v>9</v>
      </c>
      <c r="G70" s="74" t="s">
        <v>9</v>
      </c>
      <c r="H70" s="95">
        <v>932.2</v>
      </c>
      <c r="I70" s="75">
        <v>-4.7219950940310729E-2</v>
      </c>
    </row>
    <row r="71" spans="1:9">
      <c r="A71" s="72">
        <v>38777</v>
      </c>
      <c r="B71" s="94">
        <v>1230.2</v>
      </c>
      <c r="C71" s="95">
        <v>184.2</v>
      </c>
      <c r="D71" s="95">
        <v>1.8</v>
      </c>
      <c r="E71" s="95">
        <v>13.5</v>
      </c>
      <c r="F71" s="74" t="s">
        <v>9</v>
      </c>
      <c r="G71" s="74" t="s">
        <v>9</v>
      </c>
      <c r="H71" s="95">
        <v>1429.7</v>
      </c>
      <c r="I71" s="75">
        <v>0.53368375885003205</v>
      </c>
    </row>
    <row r="72" spans="1:9">
      <c r="A72" s="72">
        <v>39142</v>
      </c>
      <c r="B72" s="94">
        <v>1611.3</v>
      </c>
      <c r="C72" s="95">
        <v>30.800000000000004</v>
      </c>
      <c r="D72" s="95">
        <v>8.6999999999999993</v>
      </c>
      <c r="E72" s="95">
        <v>18.2</v>
      </c>
      <c r="F72" s="95">
        <v>535.9</v>
      </c>
      <c r="G72" s="74" t="s">
        <v>9</v>
      </c>
      <c r="H72" s="95">
        <v>2204.8999999999996</v>
      </c>
      <c r="I72" s="75">
        <v>0.54221165279429218</v>
      </c>
    </row>
    <row r="73" spans="1:9">
      <c r="A73" s="72">
        <v>39508</v>
      </c>
      <c r="B73" s="94">
        <v>1883.5</v>
      </c>
      <c r="C73" s="95">
        <v>18.100000000000001</v>
      </c>
      <c r="D73" s="95">
        <v>6.5</v>
      </c>
      <c r="E73" s="95">
        <v>19.100000000000001</v>
      </c>
      <c r="F73" s="95">
        <v>610.5</v>
      </c>
      <c r="G73" s="74" t="s">
        <v>9</v>
      </c>
      <c r="H73" s="95">
        <v>2537.7000000000003</v>
      </c>
      <c r="I73" s="75">
        <v>0.15093655041044984</v>
      </c>
    </row>
    <row r="74" spans="1:9">
      <c r="A74" s="72">
        <v>39873</v>
      </c>
      <c r="B74" s="94">
        <v>1983.5</v>
      </c>
      <c r="C74" s="95">
        <v>10.6</v>
      </c>
      <c r="D74" s="95">
        <v>6.7</v>
      </c>
      <c r="E74" s="95">
        <v>19.100000000000001</v>
      </c>
      <c r="F74" s="95">
        <v>644.4</v>
      </c>
      <c r="G74" s="74" t="s">
        <v>9</v>
      </c>
      <c r="H74" s="95">
        <v>2664.3999999999996</v>
      </c>
      <c r="I74" s="75">
        <v>4.9927099341923631E-2</v>
      </c>
    </row>
    <row r="75" spans="1:9">
      <c r="A75" s="72">
        <v>40238</v>
      </c>
      <c r="B75" s="94">
        <v>2073.7999999999997</v>
      </c>
      <c r="C75" s="95">
        <v>6.6000000000000005</v>
      </c>
      <c r="D75" s="95">
        <v>8.1</v>
      </c>
      <c r="E75" s="95">
        <v>16.7</v>
      </c>
      <c r="F75" s="95">
        <v>646.20000000000005</v>
      </c>
      <c r="G75" s="74" t="s">
        <v>9</v>
      </c>
      <c r="H75" s="95">
        <v>2751.4</v>
      </c>
      <c r="I75" s="75">
        <v>3.2652754841615561E-2</v>
      </c>
    </row>
    <row r="76" spans="1:9">
      <c r="A76" s="72">
        <v>40603</v>
      </c>
      <c r="B76" s="94">
        <v>2060.5</v>
      </c>
      <c r="C76" s="95">
        <v>4.8000000000000007</v>
      </c>
      <c r="D76" s="95">
        <v>9.7000000000000011</v>
      </c>
      <c r="E76" s="95">
        <v>18.600000000000001</v>
      </c>
      <c r="F76" s="95">
        <v>628.9</v>
      </c>
      <c r="G76" s="74" t="s">
        <v>9</v>
      </c>
      <c r="H76" s="95">
        <v>2722.4999999999995</v>
      </c>
      <c r="I76" s="75">
        <v>-1.0503743548739064E-2</v>
      </c>
    </row>
    <row r="77" spans="1:9">
      <c r="A77" s="72">
        <v>40969</v>
      </c>
      <c r="B77" s="94">
        <v>1988.9</v>
      </c>
      <c r="C77" s="95">
        <v>3.3</v>
      </c>
      <c r="D77" s="95">
        <v>12.899999999999999</v>
      </c>
      <c r="E77" s="95">
        <v>16.5</v>
      </c>
      <c r="F77" s="95">
        <v>594.9</v>
      </c>
      <c r="G77" s="74" t="s">
        <v>9</v>
      </c>
      <c r="H77" s="95">
        <v>2616.5000000000005</v>
      </c>
      <c r="I77" s="75">
        <v>-3.8934802571165883E-2</v>
      </c>
    </row>
    <row r="78" spans="1:9">
      <c r="A78" s="72">
        <v>41334</v>
      </c>
      <c r="B78" s="94">
        <v>1959.7</v>
      </c>
      <c r="C78" s="95">
        <v>2.2999999999999998</v>
      </c>
      <c r="D78" s="95">
        <v>15.2</v>
      </c>
      <c r="E78" s="95">
        <v>14.499999999999998</v>
      </c>
      <c r="F78" s="95">
        <v>559.5</v>
      </c>
      <c r="G78" s="74" t="s">
        <v>9</v>
      </c>
      <c r="H78" s="95">
        <v>2551.1999999999998</v>
      </c>
      <c r="I78" s="75">
        <v>-2.4957003630804775E-2</v>
      </c>
    </row>
    <row r="79" spans="1:9">
      <c r="A79" s="72">
        <v>41699</v>
      </c>
      <c r="B79" s="94">
        <v>1868.7</v>
      </c>
      <c r="C79" s="95">
        <v>1.5</v>
      </c>
      <c r="D79" s="95">
        <v>16.3</v>
      </c>
      <c r="E79" s="95">
        <v>18.2</v>
      </c>
      <c r="F79" s="95">
        <v>543.5</v>
      </c>
      <c r="G79" s="74" t="s">
        <v>9</v>
      </c>
      <c r="H79" s="95">
        <v>2448.1999999999998</v>
      </c>
      <c r="I79" s="75">
        <v>-4.0373157729695852E-2</v>
      </c>
    </row>
    <row r="80" spans="1:9">
      <c r="A80" s="72">
        <v>42064</v>
      </c>
      <c r="B80" s="94">
        <v>1801.6</v>
      </c>
      <c r="C80" s="95">
        <v>1</v>
      </c>
      <c r="D80" s="95">
        <v>19</v>
      </c>
      <c r="E80" s="95">
        <v>15.200000000000001</v>
      </c>
      <c r="F80" s="95">
        <v>541.29999999999995</v>
      </c>
      <c r="G80" s="74" t="s">
        <v>9</v>
      </c>
      <c r="H80" s="95">
        <v>2378.1</v>
      </c>
      <c r="I80" s="75">
        <v>-2.8633281594640958E-2</v>
      </c>
    </row>
    <row r="81" spans="1:11">
      <c r="A81" s="72">
        <v>42430</v>
      </c>
      <c r="B81" s="94">
        <v>1728</v>
      </c>
      <c r="C81" s="95">
        <v>0.4</v>
      </c>
      <c r="D81" s="95">
        <v>15.100000000000001</v>
      </c>
      <c r="E81" s="95">
        <v>24.2</v>
      </c>
      <c r="F81" s="95">
        <v>525.40000000000009</v>
      </c>
      <c r="G81" s="74" t="s">
        <v>9</v>
      </c>
      <c r="H81" s="95">
        <v>2293.1000000000004</v>
      </c>
      <c r="I81" s="75">
        <v>-3.574281989823791E-2</v>
      </c>
    </row>
    <row r="82" spans="1:11">
      <c r="A82" s="72">
        <v>42795</v>
      </c>
      <c r="B82" s="94">
        <v>1630.1</v>
      </c>
      <c r="C82" s="95">
        <v>0.2</v>
      </c>
      <c r="D82" s="95">
        <v>12</v>
      </c>
      <c r="E82" s="95">
        <v>23.200000000000003</v>
      </c>
      <c r="F82" s="95">
        <v>603.80000000000007</v>
      </c>
      <c r="G82" s="74" t="s">
        <v>9</v>
      </c>
      <c r="H82" s="95">
        <v>2269.3000000000002</v>
      </c>
      <c r="I82" s="75">
        <v>-1.0378962975884254E-2</v>
      </c>
    </row>
    <row r="83" spans="1:11">
      <c r="A83" s="72">
        <v>43160</v>
      </c>
      <c r="B83" s="94">
        <v>1620.6813509999999</v>
      </c>
      <c r="C83" s="95" t="s">
        <v>9</v>
      </c>
      <c r="D83" s="95">
        <v>10.36564474</v>
      </c>
      <c r="E83" s="95">
        <v>23.276487249999999</v>
      </c>
      <c r="F83" s="95">
        <v>584.20649900000001</v>
      </c>
      <c r="G83" s="74" t="s">
        <v>9</v>
      </c>
      <c r="H83" s="95">
        <v>2237.9410090000001</v>
      </c>
      <c r="I83" s="75">
        <v>-1.3818794782532118E-2</v>
      </c>
      <c r="J83" s="79"/>
    </row>
    <row r="84" spans="1:11">
      <c r="A84" s="72">
        <v>43525</v>
      </c>
      <c r="B84" s="94">
        <v>2024</v>
      </c>
      <c r="C84" s="95" t="s">
        <v>9</v>
      </c>
      <c r="D84" s="95">
        <v>13.4</v>
      </c>
      <c r="E84" s="95">
        <v>7.6</v>
      </c>
      <c r="F84" s="95">
        <v>617.5</v>
      </c>
      <c r="G84" s="95">
        <v>32</v>
      </c>
      <c r="H84" s="95">
        <v>2700</v>
      </c>
      <c r="I84" s="75">
        <v>0.20646611735600029</v>
      </c>
      <c r="J84" s="79"/>
    </row>
    <row r="85" spans="1:11">
      <c r="A85" s="72">
        <v>43891</v>
      </c>
      <c r="B85" s="94">
        <v>2158</v>
      </c>
      <c r="C85" s="95" t="s">
        <v>9</v>
      </c>
      <c r="D85" s="95">
        <v>14</v>
      </c>
      <c r="E85" s="95" t="s">
        <v>9</v>
      </c>
      <c r="F85" s="95">
        <v>605</v>
      </c>
      <c r="G85" s="95">
        <v>160</v>
      </c>
      <c r="H85" s="95">
        <v>2937</v>
      </c>
      <c r="I85" s="75">
        <v>8.7777777777777732E-2</v>
      </c>
      <c r="J85" s="67" t="s">
        <v>13</v>
      </c>
      <c r="K85" s="99"/>
    </row>
    <row r="86" spans="1:11">
      <c r="A86" s="72">
        <v>44256</v>
      </c>
      <c r="B86" s="94">
        <v>2091</v>
      </c>
      <c r="C86" s="95" t="s">
        <v>9</v>
      </c>
      <c r="D86" s="95">
        <v>13</v>
      </c>
      <c r="E86" s="95" t="s">
        <v>9</v>
      </c>
      <c r="F86" s="95">
        <v>559</v>
      </c>
      <c r="G86" s="95">
        <v>248</v>
      </c>
      <c r="H86" s="95">
        <v>2912</v>
      </c>
      <c r="I86" s="75">
        <v>-8.5120871637726081E-3</v>
      </c>
      <c r="J86" s="67" t="s">
        <v>13</v>
      </c>
      <c r="K86" s="99"/>
    </row>
    <row r="87" spans="1:11">
      <c r="A87" s="72">
        <v>44621</v>
      </c>
      <c r="B87" s="94">
        <v>1977</v>
      </c>
      <c r="C87" s="95" t="s">
        <v>9</v>
      </c>
      <c r="D87" s="95">
        <v>13</v>
      </c>
      <c r="E87" s="95" t="s">
        <v>9</v>
      </c>
      <c r="F87" s="95">
        <v>510</v>
      </c>
      <c r="G87" s="95">
        <v>298</v>
      </c>
      <c r="H87" s="95">
        <v>2798</v>
      </c>
      <c r="I87" s="75">
        <v>-3.914835164835162E-2</v>
      </c>
      <c r="J87" s="67" t="s">
        <v>13</v>
      </c>
      <c r="K87" s="99"/>
    </row>
    <row r="88" spans="1:11">
      <c r="A88" s="72">
        <v>44986</v>
      </c>
      <c r="B88" s="94">
        <v>2162</v>
      </c>
      <c r="C88" s="95" t="s">
        <v>9</v>
      </c>
      <c r="D88" s="95">
        <v>13</v>
      </c>
      <c r="E88" s="95" t="s">
        <v>9</v>
      </c>
      <c r="F88" s="95">
        <v>475</v>
      </c>
      <c r="G88" s="95">
        <v>313</v>
      </c>
      <c r="H88" s="95">
        <v>2963</v>
      </c>
      <c r="I88" s="75">
        <v>5.8970693352394576E-2</v>
      </c>
      <c r="J88" s="67" t="s">
        <v>13</v>
      </c>
      <c r="K88" s="99"/>
    </row>
    <row r="89" spans="1:11">
      <c r="A89" s="72">
        <v>45352</v>
      </c>
      <c r="B89" s="94">
        <v>2285</v>
      </c>
      <c r="C89" s="95" t="s">
        <v>9</v>
      </c>
      <c r="D89" s="95">
        <v>12</v>
      </c>
      <c r="E89" s="95" t="s">
        <v>9</v>
      </c>
      <c r="F89" s="95">
        <v>443</v>
      </c>
      <c r="G89" s="95">
        <v>322</v>
      </c>
      <c r="H89" s="95">
        <v>3061</v>
      </c>
      <c r="I89" s="75">
        <v>3.3074586567667819E-2</v>
      </c>
      <c r="J89" s="67" t="s">
        <v>13</v>
      </c>
      <c r="K89" s="99"/>
    </row>
    <row r="90" spans="1:11">
      <c r="A90" s="81">
        <v>45717</v>
      </c>
      <c r="B90" s="104">
        <v>2431</v>
      </c>
      <c r="C90" s="105" t="s">
        <v>9</v>
      </c>
      <c r="D90" s="105">
        <v>11</v>
      </c>
      <c r="E90" s="105" t="s">
        <v>9</v>
      </c>
      <c r="F90" s="105">
        <v>532</v>
      </c>
      <c r="G90" s="105">
        <v>334</v>
      </c>
      <c r="H90" s="105">
        <v>3308</v>
      </c>
      <c r="I90" s="84">
        <v>8.0365893498856478E-2</v>
      </c>
      <c r="J90" s="106" t="s">
        <v>37</v>
      </c>
      <c r="K90" s="99"/>
    </row>
    <row r="93" spans="1:11" s="127" customFormat="1" ht="15">
      <c r="A93" s="128" t="s">
        <v>14</v>
      </c>
    </row>
    <row r="95" spans="1:11" ht="15" customHeight="1">
      <c r="A95" s="133" t="s">
        <v>0</v>
      </c>
      <c r="B95" s="135" t="s">
        <v>175</v>
      </c>
      <c r="C95" s="137" t="s">
        <v>174</v>
      </c>
      <c r="D95" s="138"/>
      <c r="E95" s="138"/>
      <c r="F95" s="138"/>
      <c r="G95" s="138"/>
      <c r="H95" s="138"/>
      <c r="I95" s="139"/>
    </row>
    <row r="96" spans="1:11" ht="43.5" customHeight="1">
      <c r="A96" s="134"/>
      <c r="B96" s="136"/>
      <c r="C96" s="107" t="s">
        <v>15</v>
      </c>
      <c r="D96" s="108" t="s">
        <v>16</v>
      </c>
      <c r="E96" s="108" t="s">
        <v>17</v>
      </c>
      <c r="F96" s="108" t="s">
        <v>18</v>
      </c>
      <c r="G96" s="108" t="s">
        <v>20</v>
      </c>
      <c r="H96" s="108" t="s">
        <v>19</v>
      </c>
      <c r="I96" s="109" t="s">
        <v>21</v>
      </c>
    </row>
    <row r="97" spans="1:10">
      <c r="A97" s="110"/>
      <c r="B97" s="111"/>
      <c r="C97" s="112"/>
      <c r="D97" s="113"/>
      <c r="E97" s="113"/>
      <c r="F97" s="113"/>
      <c r="G97" s="113"/>
      <c r="H97" s="113"/>
      <c r="I97" s="114"/>
    </row>
    <row r="98" spans="1:10">
      <c r="A98" s="72">
        <v>43891</v>
      </c>
      <c r="B98" s="115">
        <v>704.7</v>
      </c>
      <c r="C98" s="116">
        <v>148.6</v>
      </c>
      <c r="D98" s="117">
        <v>117.6</v>
      </c>
      <c r="E98" s="118">
        <v>55.8</v>
      </c>
      <c r="F98" s="117">
        <v>21.7</v>
      </c>
      <c r="G98" s="117">
        <v>7.6</v>
      </c>
      <c r="H98" s="117">
        <v>2.8</v>
      </c>
      <c r="I98" s="119">
        <v>1.6</v>
      </c>
      <c r="J98" s="67" t="s">
        <v>13</v>
      </c>
    </row>
    <row r="99" spans="1:10">
      <c r="A99" s="72">
        <v>44256</v>
      </c>
      <c r="B99" s="115">
        <v>695.4</v>
      </c>
      <c r="C99" s="116">
        <v>149.1</v>
      </c>
      <c r="D99" s="117">
        <v>115.8</v>
      </c>
      <c r="E99" s="118">
        <v>54.7</v>
      </c>
      <c r="F99" s="117">
        <v>21.5</v>
      </c>
      <c r="G99" s="117">
        <v>7.4</v>
      </c>
      <c r="H99" s="117">
        <v>2.8</v>
      </c>
      <c r="I99" s="119">
        <v>1.5</v>
      </c>
      <c r="J99" s="67" t="s">
        <v>13</v>
      </c>
    </row>
    <row r="100" spans="1:10">
      <c r="A100" s="72">
        <v>44621</v>
      </c>
      <c r="B100" s="115">
        <v>681.2</v>
      </c>
      <c r="C100" s="116">
        <v>146.9</v>
      </c>
      <c r="D100" s="117">
        <v>112.8</v>
      </c>
      <c r="E100" s="118">
        <v>53.3</v>
      </c>
      <c r="F100" s="117">
        <v>21.1</v>
      </c>
      <c r="G100" s="117">
        <v>7.3</v>
      </c>
      <c r="H100" s="117">
        <v>2.8</v>
      </c>
      <c r="I100" s="119">
        <v>1.4</v>
      </c>
      <c r="J100" s="67" t="s">
        <v>13</v>
      </c>
    </row>
    <row r="101" spans="1:10">
      <c r="A101" s="72">
        <v>44986</v>
      </c>
      <c r="B101" s="115">
        <v>666.1</v>
      </c>
      <c r="C101" s="116">
        <v>143.1</v>
      </c>
      <c r="D101" s="117">
        <v>110.6</v>
      </c>
      <c r="E101" s="117">
        <v>52</v>
      </c>
      <c r="F101" s="117">
        <v>20.6</v>
      </c>
      <c r="G101" s="117">
        <v>7.3</v>
      </c>
      <c r="H101" s="117">
        <v>2.6</v>
      </c>
      <c r="I101" s="119">
        <v>1.5</v>
      </c>
      <c r="J101" s="67" t="s">
        <v>13</v>
      </c>
    </row>
    <row r="102" spans="1:10">
      <c r="A102" s="72">
        <v>45352</v>
      </c>
      <c r="B102" s="115">
        <v>654.20000000000005</v>
      </c>
      <c r="C102" s="116">
        <v>138.9</v>
      </c>
      <c r="D102" s="117">
        <v>109.2</v>
      </c>
      <c r="E102" s="118">
        <v>50.9</v>
      </c>
      <c r="F102" s="117">
        <v>20.100000000000001</v>
      </c>
      <c r="G102" s="117">
        <v>7.4</v>
      </c>
      <c r="H102" s="117">
        <v>2.6</v>
      </c>
      <c r="I102" s="119">
        <v>1.5</v>
      </c>
      <c r="J102" s="67" t="s">
        <v>13</v>
      </c>
    </row>
    <row r="103" spans="1:10">
      <c r="A103" s="81">
        <v>45717</v>
      </c>
      <c r="B103" s="120">
        <v>661.4</v>
      </c>
      <c r="C103" s="121">
        <v>141.80000000000001</v>
      </c>
      <c r="D103" s="122">
        <v>114.1</v>
      </c>
      <c r="E103" s="122">
        <v>49.1</v>
      </c>
      <c r="F103" s="122">
        <v>19.5</v>
      </c>
      <c r="G103" s="122">
        <v>7.9</v>
      </c>
      <c r="H103" s="122">
        <v>2.6</v>
      </c>
      <c r="I103" s="123">
        <v>1.4</v>
      </c>
      <c r="J103" s="67" t="s">
        <v>37</v>
      </c>
    </row>
    <row r="104" spans="1:10">
      <c r="C104" s="124"/>
      <c r="D104" s="124"/>
      <c r="E104" s="124"/>
      <c r="F104" s="124"/>
      <c r="G104" s="124"/>
      <c r="H104" s="124"/>
      <c r="I104" s="124"/>
    </row>
    <row r="105" spans="1:10">
      <c r="A105" s="91" t="s">
        <v>80</v>
      </c>
    </row>
    <row r="106" spans="1:10">
      <c r="A106" s="91" t="s">
        <v>79</v>
      </c>
    </row>
    <row r="107" spans="1:10">
      <c r="A107" s="91" t="s">
        <v>40</v>
      </c>
    </row>
    <row r="108" spans="1:10">
      <c r="A108" s="91" t="s">
        <v>39</v>
      </c>
      <c r="D108" s="125"/>
    </row>
  </sheetData>
  <mergeCells count="3">
    <mergeCell ref="A95:A96"/>
    <mergeCell ref="B95:B96"/>
    <mergeCell ref="C95:I95"/>
  </mergeCells>
  <pageMargins left="0.7" right="0.7" top="0.75" bottom="0.75" header="0.3" footer="0.3"/>
  <pageSetup paperSize="9" orientation="portrait" r:id="rId1"/>
  <headerFooter>
    <oddHeader>&amp;C&amp;"Verdana"&amp;10&amp;K000000[IN CONFIDENCE]&amp;1#</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3FF577-9039-4656-9515-E63B2B1AF32B}">
  <dimension ref="A2:BG60"/>
  <sheetViews>
    <sheetView topLeftCell="AO23" workbookViewId="0">
      <selection activeCell="BA54" sqref="BA54"/>
    </sheetView>
  </sheetViews>
  <sheetFormatPr defaultRowHeight="15"/>
  <cols>
    <col min="1" max="1" width="23.5703125" style="22" customWidth="1"/>
    <col min="2" max="9" width="18.7109375" style="22" customWidth="1"/>
    <col min="10" max="10" width="12.140625" style="22" customWidth="1"/>
    <col min="11" max="11" width="23.140625" style="22" customWidth="1"/>
    <col min="12" max="19" width="18.7109375" style="22" customWidth="1"/>
    <col min="20" max="20" width="12.42578125" style="22" customWidth="1"/>
    <col min="21" max="21" width="24.140625" style="22" customWidth="1"/>
    <col min="22" max="29" width="18.7109375" style="22" customWidth="1"/>
    <col min="30" max="30" width="10.42578125" style="22" customWidth="1"/>
    <col min="31" max="31" width="24.28515625" style="22" customWidth="1"/>
    <col min="32" max="32" width="22.85546875" style="22" customWidth="1"/>
    <col min="33" max="33" width="20.42578125" style="22" customWidth="1"/>
    <col min="34" max="35" width="19.5703125" style="22" customWidth="1"/>
    <col min="36" max="36" width="19" style="22" customWidth="1"/>
    <col min="37" max="37" width="15.42578125" style="22" customWidth="1"/>
    <col min="38" max="38" width="16.85546875" style="22" customWidth="1"/>
    <col min="39" max="39" width="19.28515625" style="22" customWidth="1"/>
    <col min="40" max="40" width="9.140625" style="22"/>
    <col min="41" max="41" width="24.28515625" style="22" customWidth="1"/>
    <col min="42" max="49" width="18.7109375" style="22" customWidth="1"/>
    <col min="50" max="50" width="9.140625" style="22"/>
    <col min="51" max="51" width="24.140625" style="22" customWidth="1"/>
    <col min="52" max="59" width="18.7109375" style="22" customWidth="1"/>
    <col min="60" max="16384" width="9.140625" style="22"/>
  </cols>
  <sheetData>
    <row r="2" spans="1:59" ht="18">
      <c r="A2" s="23" t="s">
        <v>22</v>
      </c>
      <c r="K2" s="24"/>
      <c r="U2" s="24"/>
      <c r="AE2" s="24"/>
      <c r="AO2" s="24"/>
    </row>
    <row r="4" spans="1:59">
      <c r="A4" s="25" t="s">
        <v>81</v>
      </c>
      <c r="K4" s="25"/>
      <c r="U4" s="25"/>
      <c r="AE4" s="25"/>
      <c r="AO4" s="25"/>
    </row>
    <row r="5" spans="1:59">
      <c r="A5" s="25" t="s">
        <v>36</v>
      </c>
      <c r="K5" s="25"/>
      <c r="U5" s="25"/>
      <c r="AE5" s="25"/>
      <c r="AO5" s="25"/>
    </row>
    <row r="6" spans="1:59">
      <c r="A6" s="25" t="s">
        <v>23</v>
      </c>
      <c r="K6" s="25"/>
      <c r="U6" s="25"/>
      <c r="AE6" s="25"/>
      <c r="AO6" s="25"/>
    </row>
    <row r="7" spans="1:59">
      <c r="K7" s="25"/>
      <c r="U7" s="25"/>
      <c r="AE7" s="25"/>
      <c r="AO7" s="25"/>
    </row>
    <row r="8" spans="1:59">
      <c r="A8" s="26" t="s">
        <v>33</v>
      </c>
      <c r="K8" s="26" t="s">
        <v>30</v>
      </c>
      <c r="U8" s="26" t="s">
        <v>31</v>
      </c>
      <c r="AE8" s="26" t="s">
        <v>32</v>
      </c>
      <c r="AO8" s="26" t="s">
        <v>24</v>
      </c>
      <c r="AY8" s="26" t="s">
        <v>38</v>
      </c>
    </row>
    <row r="9" spans="1:59" s="129" customFormat="1" ht="45">
      <c r="A9" s="130" t="s">
        <v>78</v>
      </c>
      <c r="B9" s="27" t="s">
        <v>25</v>
      </c>
      <c r="C9" s="27" t="s">
        <v>26</v>
      </c>
      <c r="D9" s="27" t="s">
        <v>27</v>
      </c>
      <c r="E9" s="28" t="s">
        <v>28</v>
      </c>
      <c r="F9" s="27" t="s">
        <v>189</v>
      </c>
      <c r="G9" s="27" t="s">
        <v>190</v>
      </c>
      <c r="H9" s="27" t="s">
        <v>191</v>
      </c>
      <c r="I9" s="28" t="s">
        <v>192</v>
      </c>
      <c r="J9" s="131"/>
      <c r="K9" s="130" t="s">
        <v>78</v>
      </c>
      <c r="L9" s="27" t="s">
        <v>25</v>
      </c>
      <c r="M9" s="27" t="s">
        <v>26</v>
      </c>
      <c r="N9" s="27" t="s">
        <v>27</v>
      </c>
      <c r="O9" s="28" t="s">
        <v>28</v>
      </c>
      <c r="P9" s="27" t="s">
        <v>189</v>
      </c>
      <c r="Q9" s="27" t="s">
        <v>190</v>
      </c>
      <c r="R9" s="27" t="s">
        <v>191</v>
      </c>
      <c r="S9" s="28" t="s">
        <v>192</v>
      </c>
      <c r="T9" s="131"/>
      <c r="U9" s="130" t="s">
        <v>78</v>
      </c>
      <c r="V9" s="27" t="s">
        <v>25</v>
      </c>
      <c r="W9" s="27" t="s">
        <v>26</v>
      </c>
      <c r="X9" s="27" t="s">
        <v>27</v>
      </c>
      <c r="Y9" s="28" t="s">
        <v>28</v>
      </c>
      <c r="Z9" s="27" t="s">
        <v>189</v>
      </c>
      <c r="AA9" s="27" t="s">
        <v>190</v>
      </c>
      <c r="AB9" s="27" t="s">
        <v>191</v>
      </c>
      <c r="AC9" s="27" t="s">
        <v>192</v>
      </c>
      <c r="AD9" s="132"/>
      <c r="AE9" s="130" t="s">
        <v>78</v>
      </c>
      <c r="AF9" s="27" t="s">
        <v>25</v>
      </c>
      <c r="AG9" s="27" t="s">
        <v>26</v>
      </c>
      <c r="AH9" s="27" t="s">
        <v>27</v>
      </c>
      <c r="AI9" s="28" t="s">
        <v>28</v>
      </c>
      <c r="AJ9" s="27" t="s">
        <v>189</v>
      </c>
      <c r="AK9" s="27" t="s">
        <v>190</v>
      </c>
      <c r="AL9" s="27" t="s">
        <v>191</v>
      </c>
      <c r="AM9" s="28" t="s">
        <v>192</v>
      </c>
      <c r="AO9" s="130" t="s">
        <v>78</v>
      </c>
      <c r="AP9" s="29" t="s">
        <v>25</v>
      </c>
      <c r="AQ9" s="29" t="s">
        <v>26</v>
      </c>
      <c r="AR9" s="29" t="s">
        <v>27</v>
      </c>
      <c r="AS9" s="30" t="s">
        <v>28</v>
      </c>
      <c r="AT9" s="29" t="s">
        <v>189</v>
      </c>
      <c r="AU9" s="29" t="s">
        <v>190</v>
      </c>
      <c r="AV9" s="29" t="s">
        <v>191</v>
      </c>
      <c r="AW9" s="30" t="s">
        <v>192</v>
      </c>
      <c r="AY9" s="130" t="s">
        <v>78</v>
      </c>
      <c r="AZ9" s="29" t="s">
        <v>25</v>
      </c>
      <c r="BA9" s="29" t="s">
        <v>26</v>
      </c>
      <c r="BB9" s="29" t="s">
        <v>27</v>
      </c>
      <c r="BC9" s="30" t="s">
        <v>28</v>
      </c>
      <c r="BD9" s="29" t="s">
        <v>189</v>
      </c>
      <c r="BE9" s="29" t="s">
        <v>190</v>
      </c>
      <c r="BF9" s="29" t="s">
        <v>191</v>
      </c>
      <c r="BG9" s="30" t="s">
        <v>192</v>
      </c>
    </row>
    <row r="10" spans="1:59">
      <c r="A10" s="31" t="s">
        <v>41</v>
      </c>
      <c r="B10" s="32">
        <v>24.6</v>
      </c>
      <c r="C10" s="32">
        <v>20.399999999999999</v>
      </c>
      <c r="D10" s="32">
        <v>2.6</v>
      </c>
      <c r="E10" s="33">
        <v>1.4</v>
      </c>
      <c r="F10" s="34">
        <v>3880</v>
      </c>
      <c r="G10" s="34">
        <v>3680</v>
      </c>
      <c r="H10" s="34">
        <v>820</v>
      </c>
      <c r="I10" s="35">
        <v>1030</v>
      </c>
      <c r="J10" s="36"/>
      <c r="K10" s="31" t="s">
        <v>41</v>
      </c>
      <c r="L10" s="32">
        <v>13.8</v>
      </c>
      <c r="M10" s="32">
        <v>11.3</v>
      </c>
      <c r="N10" s="32">
        <v>1.2</v>
      </c>
      <c r="O10" s="33">
        <v>1.3</v>
      </c>
      <c r="P10" s="34">
        <v>2130</v>
      </c>
      <c r="Q10" s="34">
        <v>2050</v>
      </c>
      <c r="R10" s="34">
        <v>410</v>
      </c>
      <c r="S10" s="35">
        <v>800</v>
      </c>
      <c r="T10" s="36"/>
      <c r="U10" s="31" t="s">
        <v>41</v>
      </c>
      <c r="V10" s="32">
        <v>15.6</v>
      </c>
      <c r="W10" s="32">
        <v>12.2</v>
      </c>
      <c r="X10" s="32">
        <v>1.6</v>
      </c>
      <c r="Y10" s="33">
        <v>1.7</v>
      </c>
      <c r="Z10" s="34">
        <v>2450</v>
      </c>
      <c r="AA10" s="34">
        <v>2330</v>
      </c>
      <c r="AB10" s="34">
        <v>580</v>
      </c>
      <c r="AC10" s="35">
        <v>970</v>
      </c>
      <c r="AD10" s="36"/>
      <c r="AE10" s="31" t="s">
        <v>41</v>
      </c>
      <c r="AF10" s="32">
        <v>21</v>
      </c>
      <c r="AG10" s="32">
        <v>16.399999999999999</v>
      </c>
      <c r="AH10" s="32">
        <v>2.8</v>
      </c>
      <c r="AI10" s="33">
        <v>1.9</v>
      </c>
      <c r="AJ10" s="34">
        <v>2720</v>
      </c>
      <c r="AK10" s="34">
        <v>2550</v>
      </c>
      <c r="AL10" s="34">
        <v>910</v>
      </c>
      <c r="AM10" s="35">
        <v>1080</v>
      </c>
      <c r="AO10" s="31" t="s">
        <v>41</v>
      </c>
      <c r="AP10" s="32">
        <v>21.1</v>
      </c>
      <c r="AQ10" s="32">
        <v>16.899999999999999</v>
      </c>
      <c r="AR10" s="32">
        <v>2.5</v>
      </c>
      <c r="AS10" s="33">
        <v>1.7</v>
      </c>
      <c r="AT10" s="34">
        <v>2560</v>
      </c>
      <c r="AU10" s="34">
        <v>2520</v>
      </c>
      <c r="AV10" s="34">
        <v>810</v>
      </c>
      <c r="AW10" s="35">
        <v>890</v>
      </c>
      <c r="AY10" s="31" t="s">
        <v>41</v>
      </c>
      <c r="AZ10" s="32">
        <v>21.6</v>
      </c>
      <c r="BA10" s="32">
        <v>17.100000000000001</v>
      </c>
      <c r="BB10" s="32">
        <v>2.6</v>
      </c>
      <c r="BC10" s="33">
        <v>1.8</v>
      </c>
      <c r="BD10" s="34">
        <v>2500</v>
      </c>
      <c r="BE10" s="34">
        <v>2470</v>
      </c>
      <c r="BF10" s="34">
        <v>720</v>
      </c>
      <c r="BG10" s="35">
        <v>920</v>
      </c>
    </row>
    <row r="11" spans="1:59">
      <c r="A11" s="37" t="s">
        <v>42</v>
      </c>
      <c r="B11" s="38">
        <v>24</v>
      </c>
      <c r="C11" s="38">
        <v>20.3</v>
      </c>
      <c r="D11" s="38">
        <v>2.2999999999999998</v>
      </c>
      <c r="E11" s="39">
        <v>1.4</v>
      </c>
      <c r="F11" s="36">
        <v>3530</v>
      </c>
      <c r="G11" s="36">
        <v>3490</v>
      </c>
      <c r="H11" s="36">
        <v>800</v>
      </c>
      <c r="I11" s="40">
        <v>900</v>
      </c>
      <c r="K11" s="37" t="s">
        <v>42</v>
      </c>
      <c r="L11" s="38">
        <v>14.9</v>
      </c>
      <c r="M11" s="38">
        <v>12.2</v>
      </c>
      <c r="N11" s="38">
        <v>1.4</v>
      </c>
      <c r="O11" s="39">
        <v>1.2</v>
      </c>
      <c r="P11" s="36">
        <v>2150</v>
      </c>
      <c r="Q11" s="36">
        <v>2120</v>
      </c>
      <c r="R11" s="36">
        <v>530</v>
      </c>
      <c r="S11" s="40">
        <v>700</v>
      </c>
      <c r="U11" s="37" t="s">
        <v>42</v>
      </c>
      <c r="V11" s="38">
        <v>13.3</v>
      </c>
      <c r="W11" s="38">
        <v>10.6</v>
      </c>
      <c r="X11" s="38">
        <v>1.4</v>
      </c>
      <c r="Y11" s="39">
        <v>1.3</v>
      </c>
      <c r="Z11" s="36">
        <v>1880</v>
      </c>
      <c r="AA11" s="36">
        <v>1860</v>
      </c>
      <c r="AB11" s="36">
        <v>530</v>
      </c>
      <c r="AC11" s="40">
        <v>670</v>
      </c>
      <c r="AE11" s="37" t="s">
        <v>42</v>
      </c>
      <c r="AF11" s="38">
        <v>15.9</v>
      </c>
      <c r="AG11" s="38">
        <v>12.6</v>
      </c>
      <c r="AH11" s="38">
        <v>1.9</v>
      </c>
      <c r="AI11" s="39">
        <v>1.4</v>
      </c>
      <c r="AJ11" s="36">
        <v>1960</v>
      </c>
      <c r="AK11" s="36">
        <v>1940</v>
      </c>
      <c r="AL11" s="36">
        <v>690</v>
      </c>
      <c r="AM11" s="40">
        <v>700</v>
      </c>
      <c r="AO11" s="37" t="s">
        <v>42</v>
      </c>
      <c r="AP11" s="38">
        <v>14.7</v>
      </c>
      <c r="AQ11" s="38">
        <v>11.7</v>
      </c>
      <c r="AR11" s="38">
        <v>1.7</v>
      </c>
      <c r="AS11" s="39">
        <v>1.3</v>
      </c>
      <c r="AT11" s="36">
        <v>1830</v>
      </c>
      <c r="AU11" s="36">
        <v>1810</v>
      </c>
      <c r="AV11" s="36">
        <v>620</v>
      </c>
      <c r="AW11" s="40">
        <v>640</v>
      </c>
      <c r="AY11" s="37" t="s">
        <v>42</v>
      </c>
      <c r="AZ11" s="38">
        <v>16.5</v>
      </c>
      <c r="BA11" s="38">
        <v>13</v>
      </c>
      <c r="BB11" s="38">
        <v>2.1</v>
      </c>
      <c r="BC11" s="39">
        <v>1.4</v>
      </c>
      <c r="BD11" s="36">
        <v>1860</v>
      </c>
      <c r="BE11" s="36">
        <v>1850</v>
      </c>
      <c r="BF11" s="36">
        <v>610</v>
      </c>
      <c r="BG11" s="40">
        <v>660</v>
      </c>
    </row>
    <row r="12" spans="1:59">
      <c r="A12" s="37" t="s">
        <v>43</v>
      </c>
      <c r="B12" s="38">
        <v>63.2</v>
      </c>
      <c r="C12" s="38">
        <v>55.1</v>
      </c>
      <c r="D12" s="38">
        <v>3.7</v>
      </c>
      <c r="E12" s="39">
        <v>4</v>
      </c>
      <c r="F12" s="36">
        <v>8830</v>
      </c>
      <c r="G12" s="36">
        <v>8750</v>
      </c>
      <c r="H12" s="36">
        <v>1350</v>
      </c>
      <c r="I12" s="40">
        <v>2390</v>
      </c>
      <c r="K12" s="37" t="s">
        <v>43</v>
      </c>
      <c r="L12" s="38">
        <v>45.9</v>
      </c>
      <c r="M12" s="38">
        <v>37.9</v>
      </c>
      <c r="N12" s="38">
        <v>2.9</v>
      </c>
      <c r="O12" s="39">
        <v>4.8</v>
      </c>
      <c r="P12" s="36">
        <v>6000</v>
      </c>
      <c r="Q12" s="36">
        <v>5910</v>
      </c>
      <c r="R12" s="36">
        <v>1080</v>
      </c>
      <c r="S12" s="40">
        <v>2360</v>
      </c>
      <c r="U12" s="37" t="s">
        <v>43</v>
      </c>
      <c r="V12" s="38">
        <v>35.1</v>
      </c>
      <c r="W12" s="38">
        <v>28.6</v>
      </c>
      <c r="X12" s="38">
        <v>2.5</v>
      </c>
      <c r="Y12" s="39">
        <v>4</v>
      </c>
      <c r="Z12" s="36">
        <v>4200</v>
      </c>
      <c r="AA12" s="36">
        <v>4160</v>
      </c>
      <c r="AB12" s="36">
        <v>880</v>
      </c>
      <c r="AC12" s="40">
        <v>1810</v>
      </c>
      <c r="AE12" s="37" t="s">
        <v>43</v>
      </c>
      <c r="AF12" s="38">
        <v>25.2</v>
      </c>
      <c r="AG12" s="38">
        <v>20</v>
      </c>
      <c r="AH12" s="38">
        <v>2.9</v>
      </c>
      <c r="AI12" s="39">
        <v>2.2999999999999998</v>
      </c>
      <c r="AJ12" s="36">
        <v>2760</v>
      </c>
      <c r="AK12" s="36">
        <v>2740</v>
      </c>
      <c r="AL12" s="36">
        <v>1050</v>
      </c>
      <c r="AM12" s="40">
        <v>1030</v>
      </c>
      <c r="AO12" s="37" t="s">
        <v>43</v>
      </c>
      <c r="AP12" s="38">
        <v>24.8</v>
      </c>
      <c r="AQ12" s="38">
        <v>19.899999999999999</v>
      </c>
      <c r="AR12" s="38">
        <v>2.7</v>
      </c>
      <c r="AS12" s="39">
        <v>2.1</v>
      </c>
      <c r="AT12" s="36">
        <v>2590</v>
      </c>
      <c r="AU12" s="36">
        <v>2570</v>
      </c>
      <c r="AV12" s="36">
        <v>980</v>
      </c>
      <c r="AW12" s="40">
        <v>960</v>
      </c>
      <c r="AY12" s="37" t="s">
        <v>43</v>
      </c>
      <c r="AZ12" s="38">
        <v>24</v>
      </c>
      <c r="BA12" s="38">
        <v>19</v>
      </c>
      <c r="BB12" s="38">
        <v>3.1</v>
      </c>
      <c r="BC12" s="39">
        <v>2</v>
      </c>
      <c r="BD12" s="36">
        <v>2500</v>
      </c>
      <c r="BE12" s="36">
        <v>2480</v>
      </c>
      <c r="BF12" s="36">
        <v>860</v>
      </c>
      <c r="BG12" s="40">
        <v>880</v>
      </c>
    </row>
    <row r="13" spans="1:59">
      <c r="A13" s="37" t="s">
        <v>44</v>
      </c>
      <c r="B13" s="38">
        <v>204.9</v>
      </c>
      <c r="C13" s="38">
        <v>183.1</v>
      </c>
      <c r="D13" s="38">
        <v>7.5</v>
      </c>
      <c r="E13" s="39">
        <v>11.1</v>
      </c>
      <c r="F13" s="36">
        <v>22000</v>
      </c>
      <c r="G13" s="36">
        <v>21930</v>
      </c>
      <c r="H13" s="36">
        <v>2900</v>
      </c>
      <c r="I13" s="40">
        <v>5000</v>
      </c>
      <c r="K13" s="37" t="s">
        <v>44</v>
      </c>
      <c r="L13" s="38">
        <v>70.099999999999994</v>
      </c>
      <c r="M13" s="38">
        <v>57</v>
      </c>
      <c r="N13" s="38">
        <v>5.2</v>
      </c>
      <c r="O13" s="39">
        <v>6.6</v>
      </c>
      <c r="P13" s="36">
        <v>9790</v>
      </c>
      <c r="Q13" s="36">
        <v>9720</v>
      </c>
      <c r="R13" s="36">
        <v>1930</v>
      </c>
      <c r="S13" s="40">
        <v>3240</v>
      </c>
      <c r="U13" s="37" t="s">
        <v>44</v>
      </c>
      <c r="V13" s="38">
        <v>55.7</v>
      </c>
      <c r="W13" s="38">
        <v>44.5</v>
      </c>
      <c r="X13" s="38">
        <v>4.5999999999999996</v>
      </c>
      <c r="Y13" s="39">
        <v>6.1</v>
      </c>
      <c r="Z13" s="36">
        <v>8160</v>
      </c>
      <c r="AA13" s="36">
        <v>8010</v>
      </c>
      <c r="AB13" s="36">
        <v>1600</v>
      </c>
      <c r="AC13" s="40">
        <v>3140</v>
      </c>
      <c r="AE13" s="37" t="s">
        <v>44</v>
      </c>
      <c r="AF13" s="38">
        <v>67.099999999999994</v>
      </c>
      <c r="AG13" s="38">
        <v>55.1</v>
      </c>
      <c r="AH13" s="38">
        <v>4.8</v>
      </c>
      <c r="AI13" s="39">
        <v>6.9</v>
      </c>
      <c r="AJ13" s="36">
        <v>7270</v>
      </c>
      <c r="AK13" s="36">
        <v>7180</v>
      </c>
      <c r="AL13" s="36">
        <v>1660</v>
      </c>
      <c r="AM13" s="40">
        <v>2930</v>
      </c>
      <c r="AO13" s="37" t="s">
        <v>44</v>
      </c>
      <c r="AP13" s="38">
        <v>59.5</v>
      </c>
      <c r="AQ13" s="38">
        <v>49.2</v>
      </c>
      <c r="AR13" s="38">
        <v>4.0999999999999996</v>
      </c>
      <c r="AS13" s="39">
        <v>6</v>
      </c>
      <c r="AT13" s="36">
        <v>5820</v>
      </c>
      <c r="AU13" s="36">
        <v>5760</v>
      </c>
      <c r="AV13" s="36">
        <v>1420</v>
      </c>
      <c r="AW13" s="40">
        <v>2370</v>
      </c>
      <c r="AY13" s="37" t="s">
        <v>44</v>
      </c>
      <c r="AZ13" s="38">
        <v>61.1</v>
      </c>
      <c r="BA13" s="38">
        <v>50.1</v>
      </c>
      <c r="BB13" s="38">
        <v>4.8</v>
      </c>
      <c r="BC13" s="39">
        <v>6.1</v>
      </c>
      <c r="BD13" s="36">
        <v>5490</v>
      </c>
      <c r="BE13" s="36">
        <v>5430</v>
      </c>
      <c r="BF13" s="36">
        <v>1310</v>
      </c>
      <c r="BG13" s="40">
        <v>2280</v>
      </c>
    </row>
    <row r="14" spans="1:59">
      <c r="A14" s="37" t="s">
        <v>45</v>
      </c>
      <c r="B14" s="38">
        <v>591.70000000000005</v>
      </c>
      <c r="C14" s="38">
        <v>548</v>
      </c>
      <c r="D14" s="38">
        <v>13.4</v>
      </c>
      <c r="E14" s="39">
        <v>24.7</v>
      </c>
      <c r="F14" s="36">
        <v>56440</v>
      </c>
      <c r="G14" s="36">
        <v>56360</v>
      </c>
      <c r="H14" s="36">
        <v>6170</v>
      </c>
      <c r="I14" s="40">
        <v>9910</v>
      </c>
      <c r="K14" s="37" t="s">
        <v>45</v>
      </c>
      <c r="L14" s="38">
        <v>692.5</v>
      </c>
      <c r="M14" s="38">
        <v>619.6</v>
      </c>
      <c r="N14" s="38">
        <v>10.6</v>
      </c>
      <c r="O14" s="39">
        <v>57.2</v>
      </c>
      <c r="P14" s="36">
        <v>63260</v>
      </c>
      <c r="Q14" s="36">
        <v>63190</v>
      </c>
      <c r="R14" s="36">
        <v>4500</v>
      </c>
      <c r="S14" s="40">
        <v>18760</v>
      </c>
      <c r="U14" s="37" t="s">
        <v>45</v>
      </c>
      <c r="V14" s="38">
        <v>601.20000000000005</v>
      </c>
      <c r="W14" s="38">
        <v>523.20000000000005</v>
      </c>
      <c r="X14" s="38">
        <v>8.1</v>
      </c>
      <c r="Y14" s="39">
        <v>65.900000000000006</v>
      </c>
      <c r="Z14" s="36">
        <v>54540</v>
      </c>
      <c r="AA14" s="36">
        <v>54450</v>
      </c>
      <c r="AB14" s="36">
        <v>3090</v>
      </c>
      <c r="AC14" s="40">
        <v>21280</v>
      </c>
      <c r="AE14" s="37" t="s">
        <v>45</v>
      </c>
      <c r="AF14" s="38">
        <v>98.4</v>
      </c>
      <c r="AG14" s="38">
        <v>79</v>
      </c>
      <c r="AH14" s="38">
        <v>7</v>
      </c>
      <c r="AI14" s="39">
        <v>9.9</v>
      </c>
      <c r="AJ14" s="36">
        <v>11220</v>
      </c>
      <c r="AK14" s="36">
        <v>11140</v>
      </c>
      <c r="AL14" s="36">
        <v>2570</v>
      </c>
      <c r="AM14" s="40">
        <v>4240</v>
      </c>
      <c r="AO14" s="37" t="s">
        <v>45</v>
      </c>
      <c r="AP14" s="38">
        <v>85.3</v>
      </c>
      <c r="AQ14" s="38">
        <v>69.5</v>
      </c>
      <c r="AR14" s="38">
        <v>6.2</v>
      </c>
      <c r="AS14" s="39">
        <v>8.1999999999999993</v>
      </c>
      <c r="AT14" s="36">
        <v>9670</v>
      </c>
      <c r="AU14" s="36">
        <v>9460</v>
      </c>
      <c r="AV14" s="36">
        <v>2140</v>
      </c>
      <c r="AW14" s="40">
        <v>3520</v>
      </c>
      <c r="AY14" s="37" t="s">
        <v>45</v>
      </c>
      <c r="AZ14" s="38">
        <v>82.5</v>
      </c>
      <c r="BA14" s="38">
        <v>66.900000000000006</v>
      </c>
      <c r="BB14" s="38">
        <v>6.7</v>
      </c>
      <c r="BC14" s="39">
        <v>7.7</v>
      </c>
      <c r="BD14" s="36">
        <v>9080</v>
      </c>
      <c r="BE14" s="36">
        <v>8860</v>
      </c>
      <c r="BF14" s="36">
        <v>1890</v>
      </c>
      <c r="BG14" s="40">
        <v>3250</v>
      </c>
    </row>
    <row r="15" spans="1:59">
      <c r="A15" s="37" t="s">
        <v>46</v>
      </c>
      <c r="B15" s="38">
        <v>225.7</v>
      </c>
      <c r="C15" s="38">
        <v>194.3</v>
      </c>
      <c r="D15" s="38">
        <v>21.5</v>
      </c>
      <c r="E15" s="39">
        <v>6.8</v>
      </c>
      <c r="F15" s="36">
        <v>21180</v>
      </c>
      <c r="G15" s="36">
        <v>21070</v>
      </c>
      <c r="H15" s="36">
        <v>8600</v>
      </c>
      <c r="I15" s="40">
        <v>3070</v>
      </c>
      <c r="K15" s="37" t="s">
        <v>46</v>
      </c>
      <c r="L15" s="38">
        <v>266.60000000000002</v>
      </c>
      <c r="M15" s="38">
        <v>230.4</v>
      </c>
      <c r="N15" s="38">
        <v>16.7</v>
      </c>
      <c r="O15" s="39">
        <v>15.1</v>
      </c>
      <c r="P15" s="36">
        <v>24930</v>
      </c>
      <c r="Q15" s="36">
        <v>24830</v>
      </c>
      <c r="R15" s="36">
        <v>7250</v>
      </c>
      <c r="S15" s="40">
        <v>5470</v>
      </c>
      <c r="U15" s="37" t="s">
        <v>46</v>
      </c>
      <c r="V15" s="38">
        <v>304.7</v>
      </c>
      <c r="W15" s="38">
        <v>261.60000000000002</v>
      </c>
      <c r="X15" s="38">
        <v>12.9</v>
      </c>
      <c r="Y15" s="39">
        <v>25.5</v>
      </c>
      <c r="Z15" s="36">
        <v>28090</v>
      </c>
      <c r="AA15" s="36">
        <v>27970</v>
      </c>
      <c r="AB15" s="36">
        <v>5740</v>
      </c>
      <c r="AC15" s="40">
        <v>8730</v>
      </c>
      <c r="AE15" s="37" t="s">
        <v>46</v>
      </c>
      <c r="AF15" s="38">
        <v>808.7</v>
      </c>
      <c r="AG15" s="38">
        <v>711.2</v>
      </c>
      <c r="AH15" s="38">
        <v>11.2</v>
      </c>
      <c r="AI15" s="39">
        <v>81.8</v>
      </c>
      <c r="AJ15" s="36">
        <v>64020</v>
      </c>
      <c r="AK15" s="36">
        <v>63910</v>
      </c>
      <c r="AL15" s="36">
        <v>4740</v>
      </c>
      <c r="AM15" s="40">
        <v>25190</v>
      </c>
      <c r="AO15" s="37" t="s">
        <v>46</v>
      </c>
      <c r="AP15" s="38">
        <v>756.9</v>
      </c>
      <c r="AQ15" s="38">
        <v>661.2</v>
      </c>
      <c r="AR15" s="38">
        <v>9.5</v>
      </c>
      <c r="AS15" s="39">
        <v>82.3</v>
      </c>
      <c r="AT15" s="36">
        <v>56070</v>
      </c>
      <c r="AU15" s="36">
        <v>55960</v>
      </c>
      <c r="AV15" s="36">
        <v>3630</v>
      </c>
      <c r="AW15" s="40">
        <v>23300</v>
      </c>
      <c r="AY15" s="37" t="s">
        <v>46</v>
      </c>
      <c r="AZ15" s="38">
        <v>733.2</v>
      </c>
      <c r="BA15" s="38">
        <v>640.1</v>
      </c>
      <c r="BB15" s="38">
        <v>10.1</v>
      </c>
      <c r="BC15" s="39">
        <v>79.7</v>
      </c>
      <c r="BD15" s="36">
        <v>52270</v>
      </c>
      <c r="BE15" s="36">
        <v>52170</v>
      </c>
      <c r="BF15" s="36">
        <v>2930</v>
      </c>
      <c r="BG15" s="40">
        <v>21780</v>
      </c>
    </row>
    <row r="16" spans="1:59">
      <c r="A16" s="37" t="s">
        <v>47</v>
      </c>
      <c r="B16" s="38">
        <v>202.2</v>
      </c>
      <c r="C16" s="38">
        <v>168</v>
      </c>
      <c r="D16" s="38">
        <v>28.5</v>
      </c>
      <c r="E16" s="39">
        <v>5.0999999999999996</v>
      </c>
      <c r="F16" s="36">
        <v>18370</v>
      </c>
      <c r="G16" s="36">
        <v>18260</v>
      </c>
      <c r="H16" s="36">
        <v>10190</v>
      </c>
      <c r="I16" s="40">
        <v>2400</v>
      </c>
      <c r="K16" s="37" t="s">
        <v>47</v>
      </c>
      <c r="L16" s="38">
        <v>206.8</v>
      </c>
      <c r="M16" s="38">
        <v>170.5</v>
      </c>
      <c r="N16" s="38">
        <v>24.5</v>
      </c>
      <c r="O16" s="39">
        <v>10.3</v>
      </c>
      <c r="P16" s="36">
        <v>18900</v>
      </c>
      <c r="Q16" s="36">
        <v>18760</v>
      </c>
      <c r="R16" s="36">
        <v>9290</v>
      </c>
      <c r="S16" s="40">
        <v>3880</v>
      </c>
      <c r="U16" s="37" t="s">
        <v>47</v>
      </c>
      <c r="V16" s="38">
        <v>206.5</v>
      </c>
      <c r="W16" s="38">
        <v>169.1</v>
      </c>
      <c r="X16" s="38">
        <v>20</v>
      </c>
      <c r="Y16" s="39">
        <v>14.7</v>
      </c>
      <c r="Z16" s="36">
        <v>18450</v>
      </c>
      <c r="AA16" s="36">
        <v>18310</v>
      </c>
      <c r="AB16" s="36">
        <v>7820</v>
      </c>
      <c r="AC16" s="40">
        <v>5400</v>
      </c>
      <c r="AE16" s="37" t="s">
        <v>47</v>
      </c>
      <c r="AF16" s="38">
        <v>253.2</v>
      </c>
      <c r="AG16" s="38">
        <v>212.4</v>
      </c>
      <c r="AH16" s="38">
        <v>17.3</v>
      </c>
      <c r="AI16" s="39">
        <v>19.899999999999999</v>
      </c>
      <c r="AJ16" s="36">
        <v>20020</v>
      </c>
      <c r="AK16" s="36">
        <v>19900</v>
      </c>
      <c r="AL16" s="36">
        <v>7080</v>
      </c>
      <c r="AM16" s="40">
        <v>6890</v>
      </c>
      <c r="AO16" s="37" t="s">
        <v>47</v>
      </c>
      <c r="AP16" s="38">
        <v>327.7</v>
      </c>
      <c r="AQ16" s="38">
        <v>285.2</v>
      </c>
      <c r="AR16" s="38">
        <v>13.5</v>
      </c>
      <c r="AS16" s="39">
        <v>25.5</v>
      </c>
      <c r="AT16" s="36">
        <v>25570</v>
      </c>
      <c r="AU16" s="36">
        <v>25450</v>
      </c>
      <c r="AV16" s="36">
        <v>5560</v>
      </c>
      <c r="AW16" s="40">
        <v>8100</v>
      </c>
      <c r="AY16" s="37" t="s">
        <v>47</v>
      </c>
      <c r="AZ16" s="38">
        <v>416.2</v>
      </c>
      <c r="BA16" s="38">
        <v>364.9</v>
      </c>
      <c r="BB16" s="38">
        <v>14.5</v>
      </c>
      <c r="BC16" s="39">
        <v>33.1</v>
      </c>
      <c r="BD16" s="36">
        <v>30390</v>
      </c>
      <c r="BE16" s="36">
        <v>30270</v>
      </c>
      <c r="BF16" s="36">
        <v>4790</v>
      </c>
      <c r="BG16" s="40">
        <v>9850</v>
      </c>
    </row>
    <row r="17" spans="1:59">
      <c r="A17" s="37" t="s">
        <v>48</v>
      </c>
      <c r="B17" s="38">
        <v>198.8</v>
      </c>
      <c r="C17" s="38">
        <v>156.6</v>
      </c>
      <c r="D17" s="38">
        <v>37.1</v>
      </c>
      <c r="E17" s="39">
        <v>4.9000000000000004</v>
      </c>
      <c r="F17" s="36">
        <v>17630</v>
      </c>
      <c r="G17" s="36">
        <v>17480</v>
      </c>
      <c r="H17" s="36">
        <v>12070</v>
      </c>
      <c r="I17" s="40">
        <v>2320</v>
      </c>
      <c r="K17" s="37" t="s">
        <v>48</v>
      </c>
      <c r="L17" s="38">
        <v>196.7</v>
      </c>
      <c r="M17" s="38">
        <v>155.80000000000001</v>
      </c>
      <c r="N17" s="38">
        <v>31.6</v>
      </c>
      <c r="O17" s="39">
        <v>9.1</v>
      </c>
      <c r="P17" s="36">
        <v>17560</v>
      </c>
      <c r="Q17" s="36">
        <v>17450</v>
      </c>
      <c r="R17" s="36">
        <v>11010</v>
      </c>
      <c r="S17" s="40">
        <v>3410</v>
      </c>
      <c r="U17" s="37" t="s">
        <v>48</v>
      </c>
      <c r="V17" s="38">
        <v>195.6</v>
      </c>
      <c r="W17" s="38">
        <v>157</v>
      </c>
      <c r="X17" s="38">
        <v>26</v>
      </c>
      <c r="Y17" s="39">
        <v>12.2</v>
      </c>
      <c r="Z17" s="36">
        <v>17520</v>
      </c>
      <c r="AA17" s="36">
        <v>17390</v>
      </c>
      <c r="AB17" s="36">
        <v>9300</v>
      </c>
      <c r="AC17" s="40">
        <v>4560</v>
      </c>
      <c r="AE17" s="37" t="s">
        <v>48</v>
      </c>
      <c r="AF17" s="38">
        <v>219.6</v>
      </c>
      <c r="AG17" s="38">
        <v>182.3</v>
      </c>
      <c r="AH17" s="38">
        <v>22</v>
      </c>
      <c r="AI17" s="39">
        <v>14.2</v>
      </c>
      <c r="AJ17" s="36">
        <v>17550</v>
      </c>
      <c r="AK17" s="36">
        <v>17430</v>
      </c>
      <c r="AL17" s="36">
        <v>8360</v>
      </c>
      <c r="AM17" s="40">
        <v>5120</v>
      </c>
      <c r="AO17" s="37" t="s">
        <v>48</v>
      </c>
      <c r="AP17" s="38">
        <v>262.10000000000002</v>
      </c>
      <c r="AQ17" s="38">
        <v>222.9</v>
      </c>
      <c r="AR17" s="38">
        <v>18.7</v>
      </c>
      <c r="AS17" s="39">
        <v>19</v>
      </c>
      <c r="AT17" s="36">
        <v>18760</v>
      </c>
      <c r="AU17" s="36">
        <v>18640</v>
      </c>
      <c r="AV17" s="36">
        <v>7250</v>
      </c>
      <c r="AW17" s="40">
        <v>6050</v>
      </c>
      <c r="AY17" s="37" t="s">
        <v>48</v>
      </c>
      <c r="AZ17" s="38">
        <v>289.39999999999998</v>
      </c>
      <c r="BA17" s="38">
        <v>246.4</v>
      </c>
      <c r="BB17" s="38">
        <v>19.899999999999999</v>
      </c>
      <c r="BC17" s="39">
        <v>21.2</v>
      </c>
      <c r="BD17" s="36">
        <v>19470</v>
      </c>
      <c r="BE17" s="36">
        <v>19350</v>
      </c>
      <c r="BF17" s="36">
        <v>6310</v>
      </c>
      <c r="BG17" s="40">
        <v>6430</v>
      </c>
    </row>
    <row r="18" spans="1:59">
      <c r="A18" s="37" t="s">
        <v>49</v>
      </c>
      <c r="B18" s="38">
        <v>200.9</v>
      </c>
      <c r="C18" s="38">
        <v>151</v>
      </c>
      <c r="D18" s="38">
        <v>44.5</v>
      </c>
      <c r="E18" s="39">
        <v>5.3</v>
      </c>
      <c r="F18" s="36">
        <v>17050</v>
      </c>
      <c r="G18" s="36">
        <v>16910</v>
      </c>
      <c r="H18" s="36">
        <v>13500</v>
      </c>
      <c r="I18" s="40">
        <v>2440</v>
      </c>
      <c r="K18" s="37" t="s">
        <v>49</v>
      </c>
      <c r="L18" s="38">
        <v>198.5</v>
      </c>
      <c r="M18" s="38">
        <v>148.5</v>
      </c>
      <c r="N18" s="38">
        <v>40.6</v>
      </c>
      <c r="O18" s="39">
        <v>9.3000000000000007</v>
      </c>
      <c r="P18" s="36">
        <v>16910</v>
      </c>
      <c r="Q18" s="36">
        <v>16770</v>
      </c>
      <c r="R18" s="36">
        <v>12920</v>
      </c>
      <c r="S18" s="40">
        <v>3400</v>
      </c>
      <c r="U18" s="37" t="s">
        <v>49</v>
      </c>
      <c r="V18" s="38">
        <v>192.7</v>
      </c>
      <c r="W18" s="38">
        <v>147.1</v>
      </c>
      <c r="X18" s="38">
        <v>33.799999999999997</v>
      </c>
      <c r="Y18" s="39">
        <v>11.6</v>
      </c>
      <c r="Z18" s="36">
        <v>16880</v>
      </c>
      <c r="AA18" s="36">
        <v>16730</v>
      </c>
      <c r="AB18" s="36">
        <v>11240</v>
      </c>
      <c r="AC18" s="40">
        <v>4310</v>
      </c>
      <c r="AE18" s="37" t="s">
        <v>49</v>
      </c>
      <c r="AF18" s="38">
        <v>207.9</v>
      </c>
      <c r="AG18" s="38">
        <v>167.2</v>
      </c>
      <c r="AH18" s="38">
        <v>27.9</v>
      </c>
      <c r="AI18" s="39">
        <v>12.5</v>
      </c>
      <c r="AJ18" s="36">
        <v>16820</v>
      </c>
      <c r="AK18" s="36">
        <v>16660</v>
      </c>
      <c r="AL18" s="36">
        <v>9810</v>
      </c>
      <c r="AM18" s="40">
        <v>4480</v>
      </c>
      <c r="AO18" s="37" t="s">
        <v>49</v>
      </c>
      <c r="AP18" s="38">
        <v>221.8</v>
      </c>
      <c r="AQ18" s="38">
        <v>185.3</v>
      </c>
      <c r="AR18" s="38">
        <v>23.3</v>
      </c>
      <c r="AS18" s="39">
        <v>12.9</v>
      </c>
      <c r="AT18" s="36">
        <v>16880</v>
      </c>
      <c r="AU18" s="36">
        <v>16750</v>
      </c>
      <c r="AV18" s="36">
        <v>8500</v>
      </c>
      <c r="AW18" s="40">
        <v>4360</v>
      </c>
      <c r="AY18" s="37" t="s">
        <v>49</v>
      </c>
      <c r="AZ18" s="38">
        <v>239.5</v>
      </c>
      <c r="BA18" s="38">
        <v>200.9</v>
      </c>
      <c r="BB18" s="38">
        <v>24.7</v>
      </c>
      <c r="BC18" s="39">
        <v>13.5</v>
      </c>
      <c r="BD18" s="36">
        <v>16930</v>
      </c>
      <c r="BE18" s="36">
        <v>16810</v>
      </c>
      <c r="BF18" s="36">
        <v>7460</v>
      </c>
      <c r="BG18" s="40">
        <v>4370</v>
      </c>
    </row>
    <row r="19" spans="1:59">
      <c r="A19" s="37" t="s">
        <v>50</v>
      </c>
      <c r="B19" s="38">
        <v>197.3</v>
      </c>
      <c r="C19" s="38">
        <v>140.5</v>
      </c>
      <c r="D19" s="38">
        <v>51</v>
      </c>
      <c r="E19" s="39">
        <v>5.8</v>
      </c>
      <c r="F19" s="36">
        <v>17610</v>
      </c>
      <c r="G19" s="36">
        <v>17450</v>
      </c>
      <c r="H19" s="36">
        <v>14920</v>
      </c>
      <c r="I19" s="40">
        <v>2560</v>
      </c>
      <c r="K19" s="37" t="s">
        <v>50</v>
      </c>
      <c r="L19" s="38">
        <v>194.5</v>
      </c>
      <c r="M19" s="38">
        <v>137.69999999999999</v>
      </c>
      <c r="N19" s="38">
        <v>46.8</v>
      </c>
      <c r="O19" s="39">
        <v>10</v>
      </c>
      <c r="P19" s="36">
        <v>17320</v>
      </c>
      <c r="Q19" s="36">
        <v>17160</v>
      </c>
      <c r="R19" s="36">
        <v>14300</v>
      </c>
      <c r="S19" s="40">
        <v>3640</v>
      </c>
      <c r="U19" s="37" t="s">
        <v>50</v>
      </c>
      <c r="V19" s="38">
        <v>181</v>
      </c>
      <c r="W19" s="38">
        <v>128.9</v>
      </c>
      <c r="X19" s="38">
        <v>40.200000000000003</v>
      </c>
      <c r="Y19" s="39">
        <v>11.8</v>
      </c>
      <c r="Z19" s="36">
        <v>16490</v>
      </c>
      <c r="AA19" s="36">
        <v>16330</v>
      </c>
      <c r="AB19" s="36">
        <v>12620</v>
      </c>
      <c r="AC19" s="40">
        <v>4280</v>
      </c>
      <c r="AE19" s="37" t="s">
        <v>50</v>
      </c>
      <c r="AF19" s="38">
        <v>190</v>
      </c>
      <c r="AG19" s="38">
        <v>143.9</v>
      </c>
      <c r="AH19" s="38">
        <v>34.200000000000003</v>
      </c>
      <c r="AI19" s="39">
        <v>11.8</v>
      </c>
      <c r="AJ19" s="36">
        <v>15980</v>
      </c>
      <c r="AK19" s="36">
        <v>15840</v>
      </c>
      <c r="AL19" s="36">
        <v>11330</v>
      </c>
      <c r="AM19" s="40">
        <v>4290</v>
      </c>
      <c r="AO19" s="37" t="s">
        <v>50</v>
      </c>
      <c r="AP19" s="38">
        <v>192</v>
      </c>
      <c r="AQ19" s="38">
        <v>151.5</v>
      </c>
      <c r="AR19" s="38">
        <v>28.9</v>
      </c>
      <c r="AS19" s="39">
        <v>11.5</v>
      </c>
      <c r="AT19" s="36">
        <v>15430</v>
      </c>
      <c r="AU19" s="36">
        <v>15300</v>
      </c>
      <c r="AV19" s="36">
        <v>9850</v>
      </c>
      <c r="AW19" s="40">
        <v>3900</v>
      </c>
      <c r="AY19" s="37" t="s">
        <v>50</v>
      </c>
      <c r="AZ19" s="38">
        <v>202.6</v>
      </c>
      <c r="BA19" s="38">
        <v>160.1</v>
      </c>
      <c r="BB19" s="38">
        <v>30.7</v>
      </c>
      <c r="BC19" s="39">
        <v>11.7</v>
      </c>
      <c r="BD19" s="36">
        <v>15280</v>
      </c>
      <c r="BE19" s="36">
        <v>15160</v>
      </c>
      <c r="BF19" s="36">
        <v>8680</v>
      </c>
      <c r="BG19" s="40">
        <v>3840</v>
      </c>
    </row>
    <row r="20" spans="1:59">
      <c r="A20" s="37" t="s">
        <v>51</v>
      </c>
      <c r="B20" s="38">
        <v>178.2</v>
      </c>
      <c r="C20" s="38">
        <v>119.7</v>
      </c>
      <c r="D20" s="38">
        <v>52.7</v>
      </c>
      <c r="E20" s="39">
        <v>5.8</v>
      </c>
      <c r="F20" s="36">
        <v>17240</v>
      </c>
      <c r="G20" s="36">
        <v>17070</v>
      </c>
      <c r="H20" s="36">
        <v>15190</v>
      </c>
      <c r="I20" s="40">
        <v>2640</v>
      </c>
      <c r="K20" s="37" t="s">
        <v>51</v>
      </c>
      <c r="L20" s="38">
        <v>179.1</v>
      </c>
      <c r="M20" s="38">
        <v>118.4</v>
      </c>
      <c r="N20" s="38">
        <v>50.2</v>
      </c>
      <c r="O20" s="39">
        <v>10.4</v>
      </c>
      <c r="P20" s="36">
        <v>17180</v>
      </c>
      <c r="Q20" s="36">
        <v>17010</v>
      </c>
      <c r="R20" s="36">
        <v>15000</v>
      </c>
      <c r="S20" s="40">
        <v>3790</v>
      </c>
      <c r="U20" s="37" t="s">
        <v>51</v>
      </c>
      <c r="V20" s="38">
        <v>168.9</v>
      </c>
      <c r="W20" s="38">
        <v>111.9</v>
      </c>
      <c r="X20" s="38">
        <v>44.9</v>
      </c>
      <c r="Y20" s="39">
        <v>12</v>
      </c>
      <c r="Z20" s="36">
        <v>16430</v>
      </c>
      <c r="AA20" s="36">
        <v>16230</v>
      </c>
      <c r="AB20" s="36">
        <v>13650</v>
      </c>
      <c r="AC20" s="40">
        <v>4310</v>
      </c>
      <c r="AE20" s="37" t="s">
        <v>51</v>
      </c>
      <c r="AF20" s="38">
        <v>172.6</v>
      </c>
      <c r="AG20" s="38">
        <v>121</v>
      </c>
      <c r="AH20" s="38">
        <v>39.700000000000003</v>
      </c>
      <c r="AI20" s="39">
        <v>11.8</v>
      </c>
      <c r="AJ20" s="36">
        <v>15640</v>
      </c>
      <c r="AK20" s="36">
        <v>15490</v>
      </c>
      <c r="AL20" s="36">
        <v>12540</v>
      </c>
      <c r="AM20" s="40">
        <v>4230</v>
      </c>
      <c r="AO20" s="37" t="s">
        <v>51</v>
      </c>
      <c r="AP20" s="38">
        <v>168.8</v>
      </c>
      <c r="AQ20" s="38">
        <v>124.2</v>
      </c>
      <c r="AR20" s="38">
        <v>33.200000000000003</v>
      </c>
      <c r="AS20" s="39">
        <v>11.3</v>
      </c>
      <c r="AT20" s="36">
        <v>14560</v>
      </c>
      <c r="AU20" s="36">
        <v>14410</v>
      </c>
      <c r="AV20" s="36">
        <v>10760</v>
      </c>
      <c r="AW20" s="40">
        <v>3860</v>
      </c>
      <c r="AY20" s="37" t="s">
        <v>51</v>
      </c>
      <c r="AZ20" s="38">
        <v>175.2</v>
      </c>
      <c r="BA20" s="38">
        <v>127</v>
      </c>
      <c r="BB20" s="38">
        <v>37</v>
      </c>
      <c r="BC20" s="39">
        <v>11.2</v>
      </c>
      <c r="BD20" s="36">
        <v>13830</v>
      </c>
      <c r="BE20" s="36">
        <v>13680</v>
      </c>
      <c r="BF20" s="36">
        <v>9820</v>
      </c>
      <c r="BG20" s="40">
        <v>3650</v>
      </c>
    </row>
    <row r="21" spans="1:59">
      <c r="A21" s="37" t="s">
        <v>52</v>
      </c>
      <c r="B21" s="38">
        <v>154.69999999999999</v>
      </c>
      <c r="C21" s="38">
        <v>96.2</v>
      </c>
      <c r="D21" s="38">
        <v>52.4</v>
      </c>
      <c r="E21" s="39">
        <v>6</v>
      </c>
      <c r="F21" s="36">
        <v>16480</v>
      </c>
      <c r="G21" s="36">
        <v>16390</v>
      </c>
      <c r="H21" s="36">
        <v>14750</v>
      </c>
      <c r="I21" s="40">
        <v>2720</v>
      </c>
      <c r="K21" s="37" t="s">
        <v>52</v>
      </c>
      <c r="L21" s="38">
        <v>156.69999999999999</v>
      </c>
      <c r="M21" s="38">
        <v>95.8</v>
      </c>
      <c r="N21" s="38">
        <v>50.1</v>
      </c>
      <c r="O21" s="39">
        <v>10.7</v>
      </c>
      <c r="P21" s="36">
        <v>16370</v>
      </c>
      <c r="Q21" s="36">
        <v>16270</v>
      </c>
      <c r="R21" s="36">
        <v>14600</v>
      </c>
      <c r="S21" s="40">
        <v>3910</v>
      </c>
      <c r="U21" s="37" t="s">
        <v>52</v>
      </c>
      <c r="V21" s="38">
        <v>152.69999999999999</v>
      </c>
      <c r="W21" s="38">
        <v>92.6</v>
      </c>
      <c r="X21" s="38">
        <v>47.4</v>
      </c>
      <c r="Y21" s="39">
        <v>12.7</v>
      </c>
      <c r="Z21" s="36">
        <v>16110</v>
      </c>
      <c r="AA21" s="36">
        <v>15990</v>
      </c>
      <c r="AB21" s="36">
        <v>13990</v>
      </c>
      <c r="AC21" s="40">
        <v>4530</v>
      </c>
      <c r="AE21" s="37" t="s">
        <v>52</v>
      </c>
      <c r="AF21" s="38">
        <v>156.80000000000001</v>
      </c>
      <c r="AG21" s="38">
        <v>101.6</v>
      </c>
      <c r="AH21" s="38">
        <v>42.8</v>
      </c>
      <c r="AI21" s="39">
        <v>12.4</v>
      </c>
      <c r="AJ21" s="36">
        <v>15260</v>
      </c>
      <c r="AK21" s="36">
        <v>15190</v>
      </c>
      <c r="AL21" s="36">
        <v>12920</v>
      </c>
      <c r="AM21" s="40">
        <v>4280</v>
      </c>
      <c r="AO21" s="37" t="s">
        <v>52</v>
      </c>
      <c r="AP21" s="38">
        <v>153.9</v>
      </c>
      <c r="AQ21" s="38">
        <v>104.9</v>
      </c>
      <c r="AR21" s="38">
        <v>37.6</v>
      </c>
      <c r="AS21" s="39">
        <v>11.3</v>
      </c>
      <c r="AT21" s="36">
        <v>14200</v>
      </c>
      <c r="AU21" s="36">
        <v>14140</v>
      </c>
      <c r="AV21" s="36">
        <v>11570</v>
      </c>
      <c r="AW21" s="40">
        <v>3710</v>
      </c>
      <c r="AY21" s="37" t="s">
        <v>52</v>
      </c>
      <c r="AZ21" s="38">
        <v>157.80000000000001</v>
      </c>
      <c r="BA21" s="38">
        <v>105.5</v>
      </c>
      <c r="BB21" s="38">
        <v>41.5</v>
      </c>
      <c r="BC21" s="39">
        <v>10.9</v>
      </c>
      <c r="BD21" s="36">
        <v>13320</v>
      </c>
      <c r="BE21" s="36">
        <v>13200</v>
      </c>
      <c r="BF21" s="36">
        <v>10480</v>
      </c>
      <c r="BG21" s="40">
        <v>3510</v>
      </c>
    </row>
    <row r="22" spans="1:59">
      <c r="A22" s="37" t="s">
        <v>53</v>
      </c>
      <c r="B22" s="38">
        <v>130.9</v>
      </c>
      <c r="C22" s="38">
        <v>74.400000000000006</v>
      </c>
      <c r="D22" s="38">
        <v>50.6</v>
      </c>
      <c r="E22" s="39">
        <v>5.9</v>
      </c>
      <c r="F22" s="36">
        <v>15580</v>
      </c>
      <c r="G22" s="36">
        <v>15560</v>
      </c>
      <c r="H22" s="36">
        <v>14080</v>
      </c>
      <c r="I22" s="40">
        <v>2730</v>
      </c>
      <c r="K22" s="37" t="s">
        <v>53</v>
      </c>
      <c r="L22" s="38">
        <v>132.5</v>
      </c>
      <c r="M22" s="38">
        <v>73.5</v>
      </c>
      <c r="N22" s="38">
        <v>48.5</v>
      </c>
      <c r="O22" s="39">
        <v>10.5</v>
      </c>
      <c r="P22" s="36">
        <v>15320</v>
      </c>
      <c r="Q22" s="36">
        <v>15290</v>
      </c>
      <c r="R22" s="36">
        <v>13900</v>
      </c>
      <c r="S22" s="40">
        <v>3820</v>
      </c>
      <c r="U22" s="37" t="s">
        <v>53</v>
      </c>
      <c r="V22" s="38">
        <v>131.19999999999999</v>
      </c>
      <c r="W22" s="38">
        <v>71.900000000000006</v>
      </c>
      <c r="X22" s="38">
        <v>46.7</v>
      </c>
      <c r="Y22" s="39">
        <v>12.6</v>
      </c>
      <c r="Z22" s="36">
        <v>15130</v>
      </c>
      <c r="AA22" s="36">
        <v>15090</v>
      </c>
      <c r="AB22" s="36">
        <v>13470</v>
      </c>
      <c r="AC22" s="40">
        <v>4450</v>
      </c>
      <c r="AE22" s="37" t="s">
        <v>53</v>
      </c>
      <c r="AF22" s="38">
        <v>137.6</v>
      </c>
      <c r="AG22" s="38">
        <v>81.5</v>
      </c>
      <c r="AH22" s="38">
        <v>44</v>
      </c>
      <c r="AI22" s="39">
        <v>12.1</v>
      </c>
      <c r="AJ22" s="36">
        <v>14730</v>
      </c>
      <c r="AK22" s="36">
        <v>14700</v>
      </c>
      <c r="AL22" s="36">
        <v>12960</v>
      </c>
      <c r="AM22" s="40">
        <v>4250</v>
      </c>
      <c r="AO22" s="37" t="s">
        <v>53</v>
      </c>
      <c r="AP22" s="38">
        <v>138.80000000000001</v>
      </c>
      <c r="AQ22" s="38">
        <v>87.2</v>
      </c>
      <c r="AR22" s="38">
        <v>39.9</v>
      </c>
      <c r="AS22" s="39">
        <v>11.6</v>
      </c>
      <c r="AT22" s="36">
        <v>14040</v>
      </c>
      <c r="AU22" s="36">
        <v>14020</v>
      </c>
      <c r="AV22" s="36">
        <v>11950</v>
      </c>
      <c r="AW22" s="40">
        <v>3860</v>
      </c>
      <c r="AY22" s="37" t="s">
        <v>53</v>
      </c>
      <c r="AZ22" s="38">
        <v>146.9</v>
      </c>
      <c r="BA22" s="38">
        <v>89.4</v>
      </c>
      <c r="BB22" s="38">
        <v>46.1</v>
      </c>
      <c r="BC22" s="39">
        <v>11.3</v>
      </c>
      <c r="BD22" s="36">
        <v>13290</v>
      </c>
      <c r="BE22" s="36">
        <v>13230</v>
      </c>
      <c r="BF22" s="36">
        <v>11190</v>
      </c>
      <c r="BG22" s="40">
        <v>3630</v>
      </c>
    </row>
    <row r="23" spans="1:59">
      <c r="A23" s="37" t="s">
        <v>54</v>
      </c>
      <c r="B23" s="38">
        <v>110.6</v>
      </c>
      <c r="C23" s="38">
        <v>58.1</v>
      </c>
      <c r="D23" s="38">
        <v>46.7</v>
      </c>
      <c r="E23" s="39">
        <v>5.8</v>
      </c>
      <c r="F23" s="36">
        <v>14520</v>
      </c>
      <c r="G23" s="36">
        <v>10530</v>
      </c>
      <c r="H23" s="36">
        <v>13410</v>
      </c>
      <c r="I23" s="40">
        <v>2700</v>
      </c>
      <c r="K23" s="37" t="s">
        <v>54</v>
      </c>
      <c r="L23" s="38">
        <v>111.3</v>
      </c>
      <c r="M23" s="38">
        <v>55.9</v>
      </c>
      <c r="N23" s="38">
        <v>45.1</v>
      </c>
      <c r="O23" s="39">
        <v>10.3</v>
      </c>
      <c r="P23" s="36">
        <v>14350</v>
      </c>
      <c r="Q23" s="36">
        <v>10300</v>
      </c>
      <c r="R23" s="36">
        <v>13300</v>
      </c>
      <c r="S23" s="40">
        <v>3810</v>
      </c>
      <c r="U23" s="37" t="s">
        <v>54</v>
      </c>
      <c r="V23" s="38">
        <v>108.6</v>
      </c>
      <c r="W23" s="38">
        <v>53.5</v>
      </c>
      <c r="X23" s="38">
        <v>42.8</v>
      </c>
      <c r="Y23" s="39">
        <v>12.3</v>
      </c>
      <c r="Z23" s="36">
        <v>13800</v>
      </c>
      <c r="AA23" s="36">
        <v>9900</v>
      </c>
      <c r="AB23" s="36">
        <v>12640</v>
      </c>
      <c r="AC23" s="40">
        <v>4440</v>
      </c>
      <c r="AE23" s="37" t="s">
        <v>54</v>
      </c>
      <c r="AF23" s="38">
        <v>116.4</v>
      </c>
      <c r="AG23" s="38">
        <v>61.8</v>
      </c>
      <c r="AH23" s="38">
        <v>42.4</v>
      </c>
      <c r="AI23" s="39">
        <v>12.1</v>
      </c>
      <c r="AJ23" s="36">
        <v>13920</v>
      </c>
      <c r="AK23" s="36">
        <v>11030</v>
      </c>
      <c r="AL23" s="36">
        <v>12570</v>
      </c>
      <c r="AM23" s="40">
        <v>4230</v>
      </c>
      <c r="AO23" s="37" t="s">
        <v>54</v>
      </c>
      <c r="AP23" s="38">
        <v>117.8</v>
      </c>
      <c r="AQ23" s="38">
        <v>66.3</v>
      </c>
      <c r="AR23" s="38">
        <v>40</v>
      </c>
      <c r="AS23" s="39">
        <v>11.5</v>
      </c>
      <c r="AT23" s="36">
        <v>13370</v>
      </c>
      <c r="AU23" s="36">
        <v>12420</v>
      </c>
      <c r="AV23" s="36">
        <v>11740</v>
      </c>
      <c r="AW23" s="40">
        <v>3860</v>
      </c>
      <c r="AY23" s="37" t="s">
        <v>54</v>
      </c>
      <c r="AZ23" s="38">
        <v>127.5</v>
      </c>
      <c r="BA23" s="38">
        <v>70.400000000000006</v>
      </c>
      <c r="BB23" s="38">
        <v>46.1</v>
      </c>
      <c r="BC23" s="39">
        <v>11</v>
      </c>
      <c r="BD23" s="36">
        <v>12700</v>
      </c>
      <c r="BE23" s="36">
        <v>12690</v>
      </c>
      <c r="BF23" s="36">
        <v>11000</v>
      </c>
      <c r="BG23" s="40">
        <v>3490</v>
      </c>
    </row>
    <row r="24" spans="1:59">
      <c r="A24" s="37" t="s">
        <v>55</v>
      </c>
      <c r="B24" s="38">
        <v>90</v>
      </c>
      <c r="C24" s="38">
        <v>45.4</v>
      </c>
      <c r="D24" s="38">
        <v>38.9</v>
      </c>
      <c r="E24" s="39">
        <v>5.6</v>
      </c>
      <c r="F24" s="36">
        <v>13760</v>
      </c>
      <c r="G24" s="36">
        <v>8650</v>
      </c>
      <c r="H24" s="36">
        <v>12730</v>
      </c>
      <c r="I24" s="40">
        <v>2710</v>
      </c>
      <c r="K24" s="37" t="s">
        <v>55</v>
      </c>
      <c r="L24" s="38">
        <v>92.4</v>
      </c>
      <c r="M24" s="38">
        <v>44.6</v>
      </c>
      <c r="N24" s="38">
        <v>37.5</v>
      </c>
      <c r="O24" s="39">
        <v>10.3</v>
      </c>
      <c r="P24" s="36">
        <v>13490</v>
      </c>
      <c r="Q24" s="36">
        <v>8570</v>
      </c>
      <c r="R24" s="36">
        <v>12540</v>
      </c>
      <c r="S24" s="40">
        <v>3920</v>
      </c>
      <c r="U24" s="37" t="s">
        <v>55</v>
      </c>
      <c r="V24" s="38">
        <v>91</v>
      </c>
      <c r="W24" s="38">
        <v>42.3</v>
      </c>
      <c r="X24" s="38">
        <v>36.200000000000003</v>
      </c>
      <c r="Y24" s="39">
        <v>12.4</v>
      </c>
      <c r="Z24" s="36">
        <v>13240</v>
      </c>
      <c r="AA24" s="36">
        <v>8360</v>
      </c>
      <c r="AB24" s="36">
        <v>12200</v>
      </c>
      <c r="AC24" s="40">
        <v>4530</v>
      </c>
      <c r="AE24" s="37" t="s">
        <v>55</v>
      </c>
      <c r="AF24" s="38">
        <v>92.9</v>
      </c>
      <c r="AG24" s="38">
        <v>47.2</v>
      </c>
      <c r="AH24" s="38">
        <v>34.1</v>
      </c>
      <c r="AI24" s="39">
        <v>11.6</v>
      </c>
      <c r="AJ24" s="36">
        <v>12610</v>
      </c>
      <c r="AK24" s="36">
        <v>7750</v>
      </c>
      <c r="AL24" s="36">
        <v>11520</v>
      </c>
      <c r="AM24" s="40">
        <v>4130</v>
      </c>
      <c r="AO24" s="37" t="s">
        <v>55</v>
      </c>
      <c r="AP24" s="38">
        <v>100</v>
      </c>
      <c r="AQ24" s="38">
        <v>53.6</v>
      </c>
      <c r="AR24" s="38">
        <v>35.1</v>
      </c>
      <c r="AS24" s="39">
        <v>11.3</v>
      </c>
      <c r="AT24" s="36">
        <v>12450</v>
      </c>
      <c r="AU24" s="36">
        <v>7540</v>
      </c>
      <c r="AV24" s="36">
        <v>11330</v>
      </c>
      <c r="AW24" s="40">
        <v>3810</v>
      </c>
      <c r="AY24" s="37" t="s">
        <v>55</v>
      </c>
      <c r="AZ24" s="38">
        <v>111.2</v>
      </c>
      <c r="BA24" s="38">
        <v>56.3</v>
      </c>
      <c r="BB24" s="38">
        <v>43.8</v>
      </c>
      <c r="BC24" s="39">
        <v>11.1</v>
      </c>
      <c r="BD24" s="36">
        <v>12050</v>
      </c>
      <c r="BE24" s="36">
        <v>7890</v>
      </c>
      <c r="BF24" s="36">
        <v>10870</v>
      </c>
      <c r="BG24" s="40">
        <v>3580</v>
      </c>
    </row>
    <row r="25" spans="1:59">
      <c r="A25" s="37" t="s">
        <v>56</v>
      </c>
      <c r="B25" s="38">
        <v>73.900000000000006</v>
      </c>
      <c r="C25" s="38">
        <v>35.200000000000003</v>
      </c>
      <c r="D25" s="38">
        <v>32.9</v>
      </c>
      <c r="E25" s="39">
        <v>5.8</v>
      </c>
      <c r="F25" s="36">
        <v>13410</v>
      </c>
      <c r="G25" s="36">
        <v>8550</v>
      </c>
      <c r="H25" s="36">
        <v>12310</v>
      </c>
      <c r="I25" s="40">
        <v>2860</v>
      </c>
      <c r="K25" s="37" t="s">
        <v>56</v>
      </c>
      <c r="L25" s="38">
        <v>72.599999999999994</v>
      </c>
      <c r="M25" s="38">
        <v>32.6</v>
      </c>
      <c r="N25" s="38">
        <v>30.4</v>
      </c>
      <c r="O25" s="39">
        <v>9.6</v>
      </c>
      <c r="P25" s="36">
        <v>12790</v>
      </c>
      <c r="Q25" s="36">
        <v>8050</v>
      </c>
      <c r="R25" s="36">
        <v>11860</v>
      </c>
      <c r="S25" s="40">
        <v>3760</v>
      </c>
      <c r="U25" s="37" t="s">
        <v>56</v>
      </c>
      <c r="V25" s="38">
        <v>74.7</v>
      </c>
      <c r="W25" s="38">
        <v>32.9</v>
      </c>
      <c r="X25" s="38">
        <v>29.8</v>
      </c>
      <c r="Y25" s="39">
        <v>11.9</v>
      </c>
      <c r="Z25" s="36">
        <v>12570</v>
      </c>
      <c r="AA25" s="36">
        <v>7990</v>
      </c>
      <c r="AB25" s="36">
        <v>11490</v>
      </c>
      <c r="AC25" s="40">
        <v>4500</v>
      </c>
      <c r="AE25" s="37" t="s">
        <v>56</v>
      </c>
      <c r="AF25" s="38">
        <v>76.099999999999994</v>
      </c>
      <c r="AG25" s="38">
        <v>37.200000000000003</v>
      </c>
      <c r="AH25" s="38">
        <v>27.4</v>
      </c>
      <c r="AI25" s="39">
        <v>11.5</v>
      </c>
      <c r="AJ25" s="36">
        <v>11960</v>
      </c>
      <c r="AK25" s="36">
        <v>7330</v>
      </c>
      <c r="AL25" s="36">
        <v>10930</v>
      </c>
      <c r="AM25" s="40">
        <v>4170</v>
      </c>
      <c r="AO25" s="37" t="s">
        <v>56</v>
      </c>
      <c r="AP25" s="38">
        <v>80.099999999999994</v>
      </c>
      <c r="AQ25" s="38">
        <v>41.6</v>
      </c>
      <c r="AR25" s="38">
        <v>27.6</v>
      </c>
      <c r="AS25" s="39">
        <v>10.9</v>
      </c>
      <c r="AT25" s="36">
        <v>11450</v>
      </c>
      <c r="AU25" s="36">
        <v>6960</v>
      </c>
      <c r="AV25" s="36">
        <v>10410</v>
      </c>
      <c r="AW25" s="40">
        <v>3680</v>
      </c>
      <c r="AY25" s="37" t="s">
        <v>56</v>
      </c>
      <c r="AZ25" s="38">
        <v>89.5</v>
      </c>
      <c r="BA25" s="38">
        <v>43.6</v>
      </c>
      <c r="BB25" s="38">
        <v>35.200000000000003</v>
      </c>
      <c r="BC25" s="39">
        <v>10.7</v>
      </c>
      <c r="BD25" s="36">
        <v>10940</v>
      </c>
      <c r="BE25" s="36">
        <v>6600</v>
      </c>
      <c r="BF25" s="36">
        <v>9860</v>
      </c>
      <c r="BG25" s="40">
        <v>3440</v>
      </c>
    </row>
    <row r="26" spans="1:59">
      <c r="A26" s="37" t="s">
        <v>57</v>
      </c>
      <c r="B26" s="38">
        <v>58</v>
      </c>
      <c r="C26" s="38">
        <v>24.4</v>
      </c>
      <c r="D26" s="38">
        <v>28.4</v>
      </c>
      <c r="E26" s="39">
        <v>5.2</v>
      </c>
      <c r="F26" s="36">
        <v>10450</v>
      </c>
      <c r="G26" s="36">
        <v>8350</v>
      </c>
      <c r="H26" s="36">
        <v>8870</v>
      </c>
      <c r="I26" s="40">
        <v>2800</v>
      </c>
      <c r="K26" s="37" t="s">
        <v>57</v>
      </c>
      <c r="L26" s="38">
        <v>58.5</v>
      </c>
      <c r="M26" s="38">
        <v>23.1</v>
      </c>
      <c r="N26" s="38">
        <v>27</v>
      </c>
      <c r="O26" s="39">
        <v>8.3000000000000007</v>
      </c>
      <c r="P26" s="36">
        <v>10440</v>
      </c>
      <c r="Q26" s="36">
        <v>8120</v>
      </c>
      <c r="R26" s="36">
        <v>8730</v>
      </c>
      <c r="S26" s="40">
        <v>3830</v>
      </c>
      <c r="U26" s="37" t="s">
        <v>57</v>
      </c>
      <c r="V26" s="38">
        <v>57.1</v>
      </c>
      <c r="W26" s="38">
        <v>22.5</v>
      </c>
      <c r="X26" s="38">
        <v>24.8</v>
      </c>
      <c r="Y26" s="39">
        <v>9.8000000000000007</v>
      </c>
      <c r="Z26" s="36">
        <v>9930</v>
      </c>
      <c r="AA26" s="36">
        <v>7470</v>
      </c>
      <c r="AB26" s="36">
        <v>8110</v>
      </c>
      <c r="AC26" s="40">
        <v>4420</v>
      </c>
      <c r="AE26" s="37" t="s">
        <v>57</v>
      </c>
      <c r="AF26" s="38">
        <v>60.3</v>
      </c>
      <c r="AG26" s="38">
        <v>27.6</v>
      </c>
      <c r="AH26" s="38">
        <v>23</v>
      </c>
      <c r="AI26" s="39">
        <v>9.6999999999999993</v>
      </c>
      <c r="AJ26" s="36">
        <v>9330</v>
      </c>
      <c r="AK26" s="36">
        <v>7090</v>
      </c>
      <c r="AL26" s="36">
        <v>7660</v>
      </c>
      <c r="AM26" s="40">
        <v>4130</v>
      </c>
      <c r="AO26" s="37" t="s">
        <v>57</v>
      </c>
      <c r="AP26" s="38">
        <v>64.2</v>
      </c>
      <c r="AQ26" s="38">
        <v>32.4</v>
      </c>
      <c r="AR26" s="38">
        <v>22</v>
      </c>
      <c r="AS26" s="39">
        <v>9.6999999999999993</v>
      </c>
      <c r="AT26" s="36">
        <v>9910</v>
      </c>
      <c r="AU26" s="36">
        <v>6680</v>
      </c>
      <c r="AV26" s="36">
        <v>8480</v>
      </c>
      <c r="AW26" s="40">
        <v>3790</v>
      </c>
      <c r="AY26" s="37" t="s">
        <v>57</v>
      </c>
      <c r="AZ26" s="38">
        <v>73.8</v>
      </c>
      <c r="BA26" s="38">
        <v>34.9</v>
      </c>
      <c r="BB26" s="38">
        <v>29.6</v>
      </c>
      <c r="BC26" s="39">
        <v>9.4</v>
      </c>
      <c r="BD26" s="36">
        <v>10470</v>
      </c>
      <c r="BE26" s="36">
        <v>6360</v>
      </c>
      <c r="BF26" s="36">
        <v>9420</v>
      </c>
      <c r="BG26" s="40">
        <v>3520</v>
      </c>
    </row>
    <row r="27" spans="1:59">
      <c r="A27" s="37" t="s">
        <v>58</v>
      </c>
      <c r="B27" s="38">
        <v>46.6</v>
      </c>
      <c r="C27" s="38">
        <v>17.399999999999999</v>
      </c>
      <c r="D27" s="38">
        <v>24.8</v>
      </c>
      <c r="E27" s="39">
        <v>4.4000000000000004</v>
      </c>
      <c r="F27" s="36">
        <v>9210</v>
      </c>
      <c r="G27" s="36">
        <v>3490</v>
      </c>
      <c r="H27" s="36">
        <v>7640</v>
      </c>
      <c r="I27" s="40">
        <v>2700</v>
      </c>
      <c r="J27" s="36"/>
      <c r="K27" s="37" t="s">
        <v>58</v>
      </c>
      <c r="L27" s="38">
        <v>45.8</v>
      </c>
      <c r="M27" s="38">
        <v>16</v>
      </c>
      <c r="N27" s="38">
        <v>23.7</v>
      </c>
      <c r="O27" s="39">
        <v>6</v>
      </c>
      <c r="P27" s="36">
        <v>9300</v>
      </c>
      <c r="Q27" s="36">
        <v>3390</v>
      </c>
      <c r="R27" s="36">
        <v>7440</v>
      </c>
      <c r="S27" s="40">
        <v>3690</v>
      </c>
      <c r="T27" s="36"/>
      <c r="U27" s="37" t="s">
        <v>58</v>
      </c>
      <c r="V27" s="38">
        <v>45.1</v>
      </c>
      <c r="W27" s="38">
        <v>15.6</v>
      </c>
      <c r="X27" s="38">
        <v>22.2</v>
      </c>
      <c r="Y27" s="39">
        <v>7.3</v>
      </c>
      <c r="Z27" s="36">
        <v>9070</v>
      </c>
      <c r="AA27" s="36">
        <v>3250</v>
      </c>
      <c r="AB27" s="36">
        <v>6970</v>
      </c>
      <c r="AC27" s="40">
        <v>4520</v>
      </c>
      <c r="AD27" s="36"/>
      <c r="AE27" s="37" t="s">
        <v>58</v>
      </c>
      <c r="AF27" s="38">
        <v>48.4</v>
      </c>
      <c r="AG27" s="38">
        <v>19.2</v>
      </c>
      <c r="AH27" s="38">
        <v>21.8</v>
      </c>
      <c r="AI27" s="39">
        <v>7.4</v>
      </c>
      <c r="AJ27" s="36">
        <v>8570</v>
      </c>
      <c r="AK27" s="36">
        <v>4800</v>
      </c>
      <c r="AL27" s="36">
        <v>6460</v>
      </c>
      <c r="AM27" s="40">
        <v>4220</v>
      </c>
      <c r="AO27" s="37" t="s">
        <v>58</v>
      </c>
      <c r="AP27" s="38">
        <v>49.5</v>
      </c>
      <c r="AQ27" s="38">
        <v>22.5</v>
      </c>
      <c r="AR27" s="38">
        <v>20</v>
      </c>
      <c r="AS27" s="39">
        <v>7</v>
      </c>
      <c r="AT27" s="36">
        <v>7690</v>
      </c>
      <c r="AU27" s="36">
        <v>6260</v>
      </c>
      <c r="AV27" s="36">
        <v>5770</v>
      </c>
      <c r="AW27" s="40">
        <v>3630</v>
      </c>
      <c r="AY27" s="37" t="s">
        <v>58</v>
      </c>
      <c r="AZ27" s="38">
        <v>57.1</v>
      </c>
      <c r="BA27" s="38">
        <v>25.4</v>
      </c>
      <c r="BB27" s="38">
        <v>24.3</v>
      </c>
      <c r="BC27" s="39">
        <v>7.3</v>
      </c>
      <c r="BD27" s="36">
        <v>9480</v>
      </c>
      <c r="BE27" s="36">
        <v>5940</v>
      </c>
      <c r="BF27" s="36">
        <v>8300</v>
      </c>
      <c r="BG27" s="40">
        <v>3420</v>
      </c>
    </row>
    <row r="28" spans="1:59">
      <c r="A28" s="37" t="s">
        <v>59</v>
      </c>
      <c r="B28" s="38">
        <v>34.799999999999997</v>
      </c>
      <c r="C28" s="38">
        <v>12.5</v>
      </c>
      <c r="D28" s="38">
        <v>18.5</v>
      </c>
      <c r="E28" s="39">
        <v>3.8</v>
      </c>
      <c r="F28" s="36">
        <v>8860</v>
      </c>
      <c r="G28" s="36">
        <v>3090</v>
      </c>
      <c r="H28" s="36">
        <v>7220</v>
      </c>
      <c r="I28" s="40">
        <v>2660</v>
      </c>
      <c r="K28" s="37" t="s">
        <v>59</v>
      </c>
      <c r="L28" s="38">
        <v>34.1</v>
      </c>
      <c r="M28" s="38">
        <v>12</v>
      </c>
      <c r="N28" s="38">
        <v>17.899999999999999</v>
      </c>
      <c r="O28" s="39">
        <v>4.2</v>
      </c>
      <c r="P28" s="36">
        <v>9100</v>
      </c>
      <c r="Q28" s="36">
        <v>3040</v>
      </c>
      <c r="R28" s="36">
        <v>7170</v>
      </c>
      <c r="S28" s="40">
        <v>3500</v>
      </c>
      <c r="U28" s="37" t="s">
        <v>59</v>
      </c>
      <c r="V28" s="38">
        <v>33.799999999999997</v>
      </c>
      <c r="W28" s="38">
        <v>12.1</v>
      </c>
      <c r="X28" s="38">
        <v>17.2</v>
      </c>
      <c r="Y28" s="39">
        <v>4.4000000000000004</v>
      </c>
      <c r="Z28" s="36">
        <v>9030</v>
      </c>
      <c r="AA28" s="36">
        <v>2960</v>
      </c>
      <c r="AB28" s="36">
        <v>6910</v>
      </c>
      <c r="AC28" s="40">
        <v>4140</v>
      </c>
      <c r="AE28" s="37" t="s">
        <v>59</v>
      </c>
      <c r="AF28" s="38">
        <v>36.299999999999997</v>
      </c>
      <c r="AG28" s="38">
        <v>14.4</v>
      </c>
      <c r="AH28" s="38">
        <v>17.100000000000001</v>
      </c>
      <c r="AI28" s="39">
        <v>4.9000000000000004</v>
      </c>
      <c r="AJ28" s="36">
        <v>8300</v>
      </c>
      <c r="AK28" s="36">
        <v>2770</v>
      </c>
      <c r="AL28" s="36">
        <v>6230</v>
      </c>
      <c r="AM28" s="40">
        <v>4160</v>
      </c>
      <c r="AO28" s="37" t="s">
        <v>59</v>
      </c>
      <c r="AP28" s="38">
        <v>41.3</v>
      </c>
      <c r="AQ28" s="38">
        <v>17.3</v>
      </c>
      <c r="AR28" s="38">
        <v>18.8</v>
      </c>
      <c r="AS28" s="39">
        <v>5.3</v>
      </c>
      <c r="AT28" s="36">
        <v>7750</v>
      </c>
      <c r="AU28" s="36">
        <v>3110</v>
      </c>
      <c r="AV28" s="36">
        <v>5860</v>
      </c>
      <c r="AW28" s="40">
        <v>3800</v>
      </c>
      <c r="AY28" s="37" t="s">
        <v>59</v>
      </c>
      <c r="AZ28" s="38">
        <v>46.3</v>
      </c>
      <c r="BA28" s="38">
        <v>18.3</v>
      </c>
      <c r="BB28" s="38">
        <v>22.5</v>
      </c>
      <c r="BC28" s="39">
        <v>5.5</v>
      </c>
      <c r="BD28" s="36">
        <v>7330</v>
      </c>
      <c r="BE28" s="36">
        <v>4630</v>
      </c>
      <c r="BF28" s="36">
        <v>5350</v>
      </c>
      <c r="BG28" s="40">
        <v>3580</v>
      </c>
    </row>
    <row r="29" spans="1:59">
      <c r="A29" s="37" t="s">
        <v>60</v>
      </c>
      <c r="B29" s="38">
        <v>25.1</v>
      </c>
      <c r="C29" s="38">
        <v>8.9</v>
      </c>
      <c r="D29" s="38">
        <v>12.6</v>
      </c>
      <c r="E29" s="39">
        <v>3.6</v>
      </c>
      <c r="F29" s="36">
        <v>8400</v>
      </c>
      <c r="G29" s="36">
        <v>2950</v>
      </c>
      <c r="H29" s="36">
        <v>6710</v>
      </c>
      <c r="I29" s="40">
        <v>2610</v>
      </c>
      <c r="K29" s="37" t="s">
        <v>60</v>
      </c>
      <c r="L29" s="38">
        <v>25</v>
      </c>
      <c r="M29" s="38">
        <v>8.9</v>
      </c>
      <c r="N29" s="38">
        <v>12.5</v>
      </c>
      <c r="O29" s="39">
        <v>3.5</v>
      </c>
      <c r="P29" s="36">
        <v>8540</v>
      </c>
      <c r="Q29" s="36">
        <v>2920</v>
      </c>
      <c r="R29" s="36">
        <v>6870</v>
      </c>
      <c r="S29" s="40">
        <v>2850</v>
      </c>
      <c r="U29" s="37" t="s">
        <v>60</v>
      </c>
      <c r="V29" s="38">
        <v>24.6</v>
      </c>
      <c r="W29" s="38">
        <v>8.8000000000000007</v>
      </c>
      <c r="X29" s="38">
        <v>12.2</v>
      </c>
      <c r="Y29" s="39">
        <v>3.6</v>
      </c>
      <c r="Z29" s="36">
        <v>8380</v>
      </c>
      <c r="AA29" s="36">
        <v>2840</v>
      </c>
      <c r="AB29" s="36">
        <v>6710</v>
      </c>
      <c r="AC29" s="40">
        <v>2900</v>
      </c>
      <c r="AE29" s="37" t="s">
        <v>60</v>
      </c>
      <c r="AF29" s="38">
        <v>26.9</v>
      </c>
      <c r="AG29" s="38">
        <v>10.9</v>
      </c>
      <c r="AH29" s="38">
        <v>12.4</v>
      </c>
      <c r="AI29" s="39">
        <v>3.6</v>
      </c>
      <c r="AJ29" s="36">
        <v>7810</v>
      </c>
      <c r="AK29" s="36">
        <v>2670</v>
      </c>
      <c r="AL29" s="36">
        <v>6280</v>
      </c>
      <c r="AM29" s="40">
        <v>2710</v>
      </c>
      <c r="AO29" s="37" t="s">
        <v>60</v>
      </c>
      <c r="AP29" s="38">
        <v>30.4</v>
      </c>
      <c r="AQ29" s="38">
        <v>13</v>
      </c>
      <c r="AR29" s="38">
        <v>13.8</v>
      </c>
      <c r="AS29" s="39">
        <v>3.6</v>
      </c>
      <c r="AT29" s="36">
        <v>7180</v>
      </c>
      <c r="AU29" s="36">
        <v>2490</v>
      </c>
      <c r="AV29" s="36">
        <v>5610</v>
      </c>
      <c r="AW29" s="40">
        <v>2780</v>
      </c>
      <c r="AY29" s="37" t="s">
        <v>60</v>
      </c>
      <c r="AZ29" s="38">
        <v>36.200000000000003</v>
      </c>
      <c r="BA29" s="38">
        <v>13.7</v>
      </c>
      <c r="BB29" s="38">
        <v>18.7</v>
      </c>
      <c r="BC29" s="39">
        <v>3.8</v>
      </c>
      <c r="BD29" s="36">
        <v>6810</v>
      </c>
      <c r="BE29" s="36">
        <v>2240</v>
      </c>
      <c r="BF29" s="36">
        <v>5190</v>
      </c>
      <c r="BG29" s="40">
        <v>2840</v>
      </c>
    </row>
    <row r="30" spans="1:59">
      <c r="A30" s="37" t="s">
        <v>61</v>
      </c>
      <c r="B30" s="38">
        <v>17.8</v>
      </c>
      <c r="C30" s="38">
        <v>5.2</v>
      </c>
      <c r="D30" s="38">
        <v>9.1999999999999993</v>
      </c>
      <c r="E30" s="39">
        <v>3.4</v>
      </c>
      <c r="F30" s="36">
        <v>5010</v>
      </c>
      <c r="G30" s="36">
        <v>2400</v>
      </c>
      <c r="H30" s="36">
        <v>2860</v>
      </c>
      <c r="I30" s="40">
        <v>2590</v>
      </c>
      <c r="K30" s="37" t="s">
        <v>61</v>
      </c>
      <c r="L30" s="38">
        <v>18.2</v>
      </c>
      <c r="M30" s="38">
        <v>5.3</v>
      </c>
      <c r="N30" s="38">
        <v>9.4</v>
      </c>
      <c r="O30" s="39">
        <v>3.4</v>
      </c>
      <c r="P30" s="36">
        <v>5210</v>
      </c>
      <c r="Q30" s="36">
        <v>2500</v>
      </c>
      <c r="R30" s="36">
        <v>2990</v>
      </c>
      <c r="S30" s="40">
        <v>2770</v>
      </c>
      <c r="U30" s="37" t="s">
        <v>61</v>
      </c>
      <c r="V30" s="38">
        <v>17.600000000000001</v>
      </c>
      <c r="W30" s="38">
        <v>5.4</v>
      </c>
      <c r="X30" s="38">
        <v>8.9</v>
      </c>
      <c r="Y30" s="39">
        <v>3.3</v>
      </c>
      <c r="Z30" s="36">
        <v>5270</v>
      </c>
      <c r="AA30" s="36">
        <v>2420</v>
      </c>
      <c r="AB30" s="36">
        <v>3040</v>
      </c>
      <c r="AC30" s="40">
        <v>2860</v>
      </c>
      <c r="AE30" s="37" t="s">
        <v>61</v>
      </c>
      <c r="AF30" s="38">
        <v>19.600000000000001</v>
      </c>
      <c r="AG30" s="38">
        <v>7.7</v>
      </c>
      <c r="AH30" s="38">
        <v>8.4</v>
      </c>
      <c r="AI30" s="39">
        <v>3.5</v>
      </c>
      <c r="AJ30" s="36">
        <v>5400</v>
      </c>
      <c r="AK30" s="36">
        <v>2520</v>
      </c>
      <c r="AL30" s="36">
        <v>3390</v>
      </c>
      <c r="AM30" s="40">
        <v>2680</v>
      </c>
      <c r="AO30" s="37" t="s">
        <v>61</v>
      </c>
      <c r="AP30" s="38">
        <v>22.7</v>
      </c>
      <c r="AQ30" s="38">
        <v>9.9</v>
      </c>
      <c r="AR30" s="38">
        <v>9.3000000000000007</v>
      </c>
      <c r="AS30" s="39">
        <v>3.5</v>
      </c>
      <c r="AT30" s="36">
        <v>6720</v>
      </c>
      <c r="AU30" s="36">
        <v>2370</v>
      </c>
      <c r="AV30" s="36">
        <v>5240</v>
      </c>
      <c r="AW30" s="40">
        <v>2450</v>
      </c>
      <c r="AY30" s="37" t="s">
        <v>61</v>
      </c>
      <c r="AZ30" s="38">
        <v>29.8</v>
      </c>
      <c r="BA30" s="38">
        <v>11.5</v>
      </c>
      <c r="BB30" s="38">
        <v>14.8</v>
      </c>
      <c r="BC30" s="39">
        <v>3.4</v>
      </c>
      <c r="BD30" s="36">
        <v>6510</v>
      </c>
      <c r="BE30" s="36">
        <v>2230</v>
      </c>
      <c r="BF30" s="36">
        <v>5120</v>
      </c>
      <c r="BG30" s="40">
        <v>2270</v>
      </c>
    </row>
    <row r="31" spans="1:59">
      <c r="A31" s="37" t="s">
        <v>62</v>
      </c>
      <c r="B31" s="38">
        <v>13.6</v>
      </c>
      <c r="C31" s="38">
        <v>3.4</v>
      </c>
      <c r="D31" s="38">
        <v>7.2</v>
      </c>
      <c r="E31" s="39">
        <v>3</v>
      </c>
      <c r="F31" s="36">
        <v>4360</v>
      </c>
      <c r="G31" s="36">
        <v>820</v>
      </c>
      <c r="H31" s="36">
        <v>2360</v>
      </c>
      <c r="I31" s="40">
        <v>2330</v>
      </c>
      <c r="K31" s="37" t="s">
        <v>62</v>
      </c>
      <c r="L31" s="38">
        <v>13.4</v>
      </c>
      <c r="M31" s="38">
        <v>3.5</v>
      </c>
      <c r="N31" s="38">
        <v>7</v>
      </c>
      <c r="O31" s="39">
        <v>2.9</v>
      </c>
      <c r="P31" s="36">
        <v>4500</v>
      </c>
      <c r="Q31" s="36">
        <v>900</v>
      </c>
      <c r="R31" s="36">
        <v>2330</v>
      </c>
      <c r="S31" s="40">
        <v>2500</v>
      </c>
      <c r="U31" s="37" t="s">
        <v>62</v>
      </c>
      <c r="V31" s="38">
        <v>13.7</v>
      </c>
      <c r="W31" s="38">
        <v>3.3</v>
      </c>
      <c r="X31" s="38">
        <v>7.3</v>
      </c>
      <c r="Y31" s="39">
        <v>3.1</v>
      </c>
      <c r="Z31" s="36">
        <v>4810</v>
      </c>
      <c r="AA31" s="36">
        <v>860</v>
      </c>
      <c r="AB31" s="36">
        <v>2460</v>
      </c>
      <c r="AC31" s="40">
        <v>2810</v>
      </c>
      <c r="AE31" s="37" t="s">
        <v>62</v>
      </c>
      <c r="AF31" s="38">
        <v>15.3</v>
      </c>
      <c r="AG31" s="38">
        <v>4.5</v>
      </c>
      <c r="AH31" s="38">
        <v>7.6</v>
      </c>
      <c r="AI31" s="39">
        <v>3.3</v>
      </c>
      <c r="AJ31" s="36">
        <v>4520</v>
      </c>
      <c r="AK31" s="36">
        <v>1590</v>
      </c>
      <c r="AL31" s="36">
        <v>2320</v>
      </c>
      <c r="AM31" s="40">
        <v>2670</v>
      </c>
      <c r="AO31" s="37" t="s">
        <v>62</v>
      </c>
      <c r="AP31" s="38">
        <v>17</v>
      </c>
      <c r="AQ31" s="38">
        <v>6.6</v>
      </c>
      <c r="AR31" s="38">
        <v>7.2</v>
      </c>
      <c r="AS31" s="39">
        <v>3.2</v>
      </c>
      <c r="AT31" s="36">
        <v>4070</v>
      </c>
      <c r="AU31" s="36">
        <v>2200</v>
      </c>
      <c r="AV31" s="36">
        <v>2140</v>
      </c>
      <c r="AW31" s="40">
        <v>2350</v>
      </c>
      <c r="AY31" s="37" t="s">
        <v>62</v>
      </c>
      <c r="AZ31" s="38">
        <v>22.6</v>
      </c>
      <c r="BA31" s="38">
        <v>8.6</v>
      </c>
      <c r="BB31" s="38">
        <v>10.8</v>
      </c>
      <c r="BC31" s="39">
        <v>3.2</v>
      </c>
      <c r="BD31" s="36">
        <v>6340</v>
      </c>
      <c r="BE31" s="36">
        <v>2060</v>
      </c>
      <c r="BF31" s="36">
        <v>4890</v>
      </c>
      <c r="BG31" s="40">
        <v>2260</v>
      </c>
    </row>
    <row r="32" spans="1:59">
      <c r="A32" s="37" t="s">
        <v>63</v>
      </c>
      <c r="B32" s="38">
        <v>10.199999999999999</v>
      </c>
      <c r="C32" s="38">
        <v>2.4</v>
      </c>
      <c r="D32" s="38">
        <v>5</v>
      </c>
      <c r="E32" s="39">
        <v>2.8</v>
      </c>
      <c r="F32" s="36">
        <v>4020</v>
      </c>
      <c r="G32" s="36">
        <v>730</v>
      </c>
      <c r="H32" s="36">
        <v>2180</v>
      </c>
      <c r="I32" s="40">
        <v>2140</v>
      </c>
      <c r="K32" s="37" t="s">
        <v>63</v>
      </c>
      <c r="L32" s="38">
        <v>10.199999999999999</v>
      </c>
      <c r="M32" s="38">
        <v>2.4</v>
      </c>
      <c r="N32" s="38">
        <v>5</v>
      </c>
      <c r="O32" s="39">
        <v>2.8</v>
      </c>
      <c r="P32" s="36">
        <v>4290</v>
      </c>
      <c r="Q32" s="36">
        <v>770</v>
      </c>
      <c r="R32" s="36">
        <v>2240</v>
      </c>
      <c r="S32" s="40">
        <v>2350</v>
      </c>
      <c r="U32" s="37" t="s">
        <v>63</v>
      </c>
      <c r="V32" s="38">
        <v>10.5</v>
      </c>
      <c r="W32" s="38">
        <v>2.6</v>
      </c>
      <c r="X32" s="38">
        <v>5</v>
      </c>
      <c r="Y32" s="39">
        <v>3</v>
      </c>
      <c r="Z32" s="36">
        <v>4570</v>
      </c>
      <c r="AA32" s="36">
        <v>770</v>
      </c>
      <c r="AB32" s="36">
        <v>2300</v>
      </c>
      <c r="AC32" s="40">
        <v>2680</v>
      </c>
      <c r="AE32" s="37" t="s">
        <v>63</v>
      </c>
      <c r="AF32" s="38">
        <v>12.3</v>
      </c>
      <c r="AG32" s="38">
        <v>3.4</v>
      </c>
      <c r="AH32" s="38">
        <v>5.7</v>
      </c>
      <c r="AI32" s="39">
        <v>3.2</v>
      </c>
      <c r="AJ32" s="36">
        <v>4340</v>
      </c>
      <c r="AK32" s="36">
        <v>780</v>
      </c>
      <c r="AL32" s="36">
        <v>2170</v>
      </c>
      <c r="AM32" s="40">
        <v>2590</v>
      </c>
      <c r="AO32" s="37" t="s">
        <v>63</v>
      </c>
      <c r="AP32" s="38">
        <v>14.7</v>
      </c>
      <c r="AQ32" s="38">
        <v>4.8</v>
      </c>
      <c r="AR32" s="38">
        <v>6.8</v>
      </c>
      <c r="AS32" s="39">
        <v>3.2</v>
      </c>
      <c r="AT32" s="36">
        <v>4100</v>
      </c>
      <c r="AU32" s="36">
        <v>1430</v>
      </c>
      <c r="AV32" s="36">
        <v>2070</v>
      </c>
      <c r="AW32" s="40">
        <v>2430</v>
      </c>
      <c r="AY32" s="37" t="s">
        <v>63</v>
      </c>
      <c r="AZ32" s="38">
        <v>17.3</v>
      </c>
      <c r="BA32" s="38">
        <v>5.9</v>
      </c>
      <c r="BB32" s="38">
        <v>8.1</v>
      </c>
      <c r="BC32" s="39">
        <v>3.2</v>
      </c>
      <c r="BD32" s="36">
        <v>4890</v>
      </c>
      <c r="BE32" s="36">
        <v>2010</v>
      </c>
      <c r="BF32" s="36">
        <v>3150</v>
      </c>
      <c r="BG32" s="40">
        <v>2320</v>
      </c>
    </row>
    <row r="33" spans="1:59">
      <c r="A33" s="37" t="s">
        <v>64</v>
      </c>
      <c r="B33" s="38">
        <v>6.9</v>
      </c>
      <c r="C33" s="38">
        <v>1.5</v>
      </c>
      <c r="D33" s="38">
        <v>2.8</v>
      </c>
      <c r="E33" s="39">
        <v>2.7</v>
      </c>
      <c r="F33" s="36">
        <v>3550</v>
      </c>
      <c r="G33" s="36">
        <v>610</v>
      </c>
      <c r="H33" s="36">
        <v>1730</v>
      </c>
      <c r="I33" s="40">
        <v>2050</v>
      </c>
      <c r="K33" s="37" t="s">
        <v>64</v>
      </c>
      <c r="L33" s="38">
        <v>7.5</v>
      </c>
      <c r="M33" s="38">
        <v>1.7</v>
      </c>
      <c r="N33" s="38">
        <v>3</v>
      </c>
      <c r="O33" s="39">
        <v>2.7</v>
      </c>
      <c r="P33" s="36">
        <v>3900</v>
      </c>
      <c r="Q33" s="36">
        <v>730</v>
      </c>
      <c r="R33" s="36">
        <v>1840</v>
      </c>
      <c r="S33" s="40">
        <v>2330</v>
      </c>
      <c r="U33" s="37" t="s">
        <v>64</v>
      </c>
      <c r="V33" s="38">
        <v>7.6</v>
      </c>
      <c r="W33" s="38">
        <v>1.8</v>
      </c>
      <c r="X33" s="38">
        <v>3.2</v>
      </c>
      <c r="Y33" s="39">
        <v>2.7</v>
      </c>
      <c r="Z33" s="36">
        <v>4100</v>
      </c>
      <c r="AA33" s="36">
        <v>740</v>
      </c>
      <c r="AB33" s="36">
        <v>1970</v>
      </c>
      <c r="AC33" s="40">
        <v>2500</v>
      </c>
      <c r="AE33" s="37" t="s">
        <v>64</v>
      </c>
      <c r="AF33" s="38">
        <v>9.1999999999999993</v>
      </c>
      <c r="AG33" s="38">
        <v>2.4</v>
      </c>
      <c r="AH33" s="38">
        <v>3.8</v>
      </c>
      <c r="AI33" s="39">
        <v>3</v>
      </c>
      <c r="AJ33" s="36">
        <v>4260</v>
      </c>
      <c r="AK33" s="36">
        <v>720</v>
      </c>
      <c r="AL33" s="36">
        <v>2120</v>
      </c>
      <c r="AM33" s="40">
        <v>2530</v>
      </c>
      <c r="AO33" s="37" t="s">
        <v>64</v>
      </c>
      <c r="AP33" s="38">
        <v>11</v>
      </c>
      <c r="AQ33" s="38">
        <v>3.2</v>
      </c>
      <c r="AR33" s="38">
        <v>5</v>
      </c>
      <c r="AS33" s="39">
        <v>2.8</v>
      </c>
      <c r="AT33" s="36">
        <v>3790</v>
      </c>
      <c r="AU33" s="36">
        <v>700</v>
      </c>
      <c r="AV33" s="36">
        <v>1910</v>
      </c>
      <c r="AW33" s="40">
        <v>2210</v>
      </c>
      <c r="AY33" s="37" t="s">
        <v>64</v>
      </c>
      <c r="AZ33" s="38">
        <v>14.3</v>
      </c>
      <c r="BA33" s="38">
        <v>3.8</v>
      </c>
      <c r="BB33" s="38">
        <v>7.4</v>
      </c>
      <c r="BC33" s="39">
        <v>3</v>
      </c>
      <c r="BD33" s="36">
        <v>3810</v>
      </c>
      <c r="BE33" s="36">
        <v>990</v>
      </c>
      <c r="BF33" s="36">
        <v>1940</v>
      </c>
      <c r="BG33" s="40">
        <v>2250</v>
      </c>
    </row>
    <row r="34" spans="1:59">
      <c r="A34" s="37" t="s">
        <v>65</v>
      </c>
      <c r="B34" s="38">
        <v>5.4</v>
      </c>
      <c r="C34" s="38">
        <v>0.9</v>
      </c>
      <c r="D34" s="38">
        <v>2.1</v>
      </c>
      <c r="E34" s="39">
        <v>2.4</v>
      </c>
      <c r="F34" s="36">
        <v>2370</v>
      </c>
      <c r="G34" s="36">
        <v>450</v>
      </c>
      <c r="H34" s="36">
        <v>580</v>
      </c>
      <c r="I34" s="40">
        <v>1860</v>
      </c>
      <c r="K34" s="37" t="s">
        <v>65</v>
      </c>
      <c r="L34" s="38">
        <v>5.0999999999999996</v>
      </c>
      <c r="M34" s="38">
        <v>0.8</v>
      </c>
      <c r="N34" s="38">
        <v>2</v>
      </c>
      <c r="O34" s="39">
        <v>2.2999999999999998</v>
      </c>
      <c r="P34" s="36">
        <v>2550</v>
      </c>
      <c r="Q34" s="36">
        <v>460</v>
      </c>
      <c r="R34" s="36">
        <v>570</v>
      </c>
      <c r="S34" s="40">
        <v>2040</v>
      </c>
      <c r="U34" s="37" t="s">
        <v>65</v>
      </c>
      <c r="V34" s="38">
        <v>5.8</v>
      </c>
      <c r="W34" s="38">
        <v>1</v>
      </c>
      <c r="X34" s="38">
        <v>2.2000000000000002</v>
      </c>
      <c r="Y34" s="39">
        <v>2.5</v>
      </c>
      <c r="Z34" s="36">
        <v>2880</v>
      </c>
      <c r="AA34" s="36">
        <v>520</v>
      </c>
      <c r="AB34" s="36">
        <v>680</v>
      </c>
      <c r="AC34" s="40">
        <v>2340</v>
      </c>
      <c r="AE34" s="37" t="s">
        <v>65</v>
      </c>
      <c r="AF34" s="38">
        <v>7.3</v>
      </c>
      <c r="AG34" s="38">
        <v>1.9</v>
      </c>
      <c r="AH34" s="38">
        <v>2.5</v>
      </c>
      <c r="AI34" s="39">
        <v>3</v>
      </c>
      <c r="AJ34" s="36">
        <v>3370</v>
      </c>
      <c r="AK34" s="36">
        <v>690</v>
      </c>
      <c r="AL34" s="36">
        <v>1050</v>
      </c>
      <c r="AM34" s="40">
        <v>2530</v>
      </c>
      <c r="AO34" s="37" t="s">
        <v>65</v>
      </c>
      <c r="AP34" s="38">
        <v>8.6</v>
      </c>
      <c r="AQ34" s="38">
        <v>2.2999999999999998</v>
      </c>
      <c r="AR34" s="38">
        <v>3.5</v>
      </c>
      <c r="AS34" s="39">
        <v>2.8</v>
      </c>
      <c r="AT34" s="36">
        <v>3890</v>
      </c>
      <c r="AU34" s="36">
        <v>680</v>
      </c>
      <c r="AV34" s="36">
        <v>1970</v>
      </c>
      <c r="AW34" s="40">
        <v>2230</v>
      </c>
      <c r="AY34" s="37" t="s">
        <v>65</v>
      </c>
      <c r="AZ34" s="38">
        <v>11.4</v>
      </c>
      <c r="BA34" s="38">
        <v>2.9</v>
      </c>
      <c r="BB34" s="38">
        <v>5.5</v>
      </c>
      <c r="BC34" s="39">
        <v>2.9</v>
      </c>
      <c r="BD34" s="36">
        <v>3650</v>
      </c>
      <c r="BE34" s="36">
        <v>670</v>
      </c>
      <c r="BF34" s="36">
        <v>1780</v>
      </c>
      <c r="BG34" s="40">
        <v>2180</v>
      </c>
    </row>
    <row r="35" spans="1:59">
      <c r="A35" s="37" t="s">
        <v>66</v>
      </c>
      <c r="B35" s="38">
        <v>4.4000000000000004</v>
      </c>
      <c r="C35" s="38">
        <v>0.7</v>
      </c>
      <c r="D35" s="38">
        <v>1.6</v>
      </c>
      <c r="E35" s="39">
        <v>2.1</v>
      </c>
      <c r="F35" s="36">
        <v>2090</v>
      </c>
      <c r="G35" s="36">
        <v>200</v>
      </c>
      <c r="H35" s="36">
        <v>500</v>
      </c>
      <c r="I35" s="40">
        <v>1660</v>
      </c>
      <c r="K35" s="37" t="s">
        <v>66</v>
      </c>
      <c r="L35" s="38">
        <v>4.3</v>
      </c>
      <c r="M35" s="38">
        <v>0.7</v>
      </c>
      <c r="N35" s="38">
        <v>1.5</v>
      </c>
      <c r="O35" s="39">
        <v>2.2000000000000002</v>
      </c>
      <c r="P35" s="36">
        <v>2420</v>
      </c>
      <c r="Q35" s="36">
        <v>210</v>
      </c>
      <c r="R35" s="36">
        <v>470</v>
      </c>
      <c r="S35" s="40">
        <v>1990</v>
      </c>
      <c r="U35" s="37" t="s">
        <v>66</v>
      </c>
      <c r="V35" s="38">
        <v>4.9000000000000004</v>
      </c>
      <c r="W35" s="38">
        <v>0.7</v>
      </c>
      <c r="X35" s="38">
        <v>1.8</v>
      </c>
      <c r="Y35" s="39">
        <v>2.4</v>
      </c>
      <c r="Z35" s="36">
        <v>2720</v>
      </c>
      <c r="AA35" s="36">
        <v>230</v>
      </c>
      <c r="AB35" s="36">
        <v>580</v>
      </c>
      <c r="AC35" s="40">
        <v>2250</v>
      </c>
      <c r="AE35" s="37" t="s">
        <v>66</v>
      </c>
      <c r="AF35" s="38">
        <v>6.1</v>
      </c>
      <c r="AG35" s="38">
        <v>1.2</v>
      </c>
      <c r="AH35" s="38">
        <v>2.1</v>
      </c>
      <c r="AI35" s="39">
        <v>2.8</v>
      </c>
      <c r="AJ35" s="36">
        <v>2900</v>
      </c>
      <c r="AK35" s="36">
        <v>460</v>
      </c>
      <c r="AL35" s="36">
        <v>630</v>
      </c>
      <c r="AM35" s="40">
        <v>2400</v>
      </c>
      <c r="AO35" s="37" t="s">
        <v>66</v>
      </c>
      <c r="AP35" s="38">
        <v>6.6</v>
      </c>
      <c r="AQ35" s="38">
        <v>1.7</v>
      </c>
      <c r="AR35" s="38">
        <v>2.1</v>
      </c>
      <c r="AS35" s="39">
        <v>2.8</v>
      </c>
      <c r="AT35" s="36">
        <v>2880</v>
      </c>
      <c r="AU35" s="36">
        <v>610</v>
      </c>
      <c r="AV35" s="36">
        <v>850</v>
      </c>
      <c r="AW35" s="40">
        <v>2170</v>
      </c>
      <c r="AY35" s="37" t="s">
        <v>66</v>
      </c>
      <c r="AZ35" s="38">
        <v>9.1</v>
      </c>
      <c r="BA35" s="38">
        <v>2.2999999999999998</v>
      </c>
      <c r="BB35" s="38">
        <v>4</v>
      </c>
      <c r="BC35" s="39">
        <v>2.9</v>
      </c>
      <c r="BD35" s="36">
        <v>3550</v>
      </c>
      <c r="BE35" s="36">
        <v>590</v>
      </c>
      <c r="BF35" s="36">
        <v>1680</v>
      </c>
      <c r="BG35" s="40">
        <v>2160</v>
      </c>
    </row>
    <row r="36" spans="1:59">
      <c r="A36" s="37" t="s">
        <v>67</v>
      </c>
      <c r="B36" s="38">
        <v>3.3</v>
      </c>
      <c r="C36" s="38">
        <v>0.4</v>
      </c>
      <c r="D36" s="38">
        <v>1</v>
      </c>
      <c r="E36" s="39">
        <v>1.9</v>
      </c>
      <c r="F36" s="36">
        <v>1930</v>
      </c>
      <c r="G36" s="36">
        <v>150</v>
      </c>
      <c r="H36" s="36">
        <v>430</v>
      </c>
      <c r="I36" s="40">
        <v>1540</v>
      </c>
      <c r="J36" s="36"/>
      <c r="K36" s="37" t="s">
        <v>67</v>
      </c>
      <c r="L36" s="38">
        <v>3.5</v>
      </c>
      <c r="M36" s="38">
        <v>0.4</v>
      </c>
      <c r="N36" s="38">
        <v>1.1000000000000001</v>
      </c>
      <c r="O36" s="39">
        <v>2</v>
      </c>
      <c r="P36" s="36">
        <v>2190</v>
      </c>
      <c r="Q36" s="36">
        <v>170</v>
      </c>
      <c r="R36" s="36">
        <v>450</v>
      </c>
      <c r="S36" s="40">
        <v>1790</v>
      </c>
      <c r="T36" s="36"/>
      <c r="U36" s="37" t="s">
        <v>67</v>
      </c>
      <c r="V36" s="38">
        <v>3.9</v>
      </c>
      <c r="W36" s="38">
        <v>0.5</v>
      </c>
      <c r="X36" s="38">
        <v>1.2</v>
      </c>
      <c r="Y36" s="39">
        <v>2.2000000000000002</v>
      </c>
      <c r="Z36" s="36">
        <v>2530</v>
      </c>
      <c r="AA36" s="36">
        <v>200</v>
      </c>
      <c r="AB36" s="36">
        <v>510</v>
      </c>
      <c r="AC36" s="40">
        <v>2100</v>
      </c>
      <c r="AD36" s="36"/>
      <c r="AE36" s="37" t="s">
        <v>67</v>
      </c>
      <c r="AF36" s="38">
        <v>4.8</v>
      </c>
      <c r="AG36" s="38">
        <v>0.7</v>
      </c>
      <c r="AH36" s="38">
        <v>1.6</v>
      </c>
      <c r="AI36" s="39">
        <v>2.5</v>
      </c>
      <c r="AJ36" s="36">
        <v>2690</v>
      </c>
      <c r="AK36" s="36">
        <v>250</v>
      </c>
      <c r="AL36" s="36">
        <v>560</v>
      </c>
      <c r="AM36" s="40">
        <v>2210</v>
      </c>
      <c r="AO36" s="37" t="s">
        <v>67</v>
      </c>
      <c r="AP36" s="38">
        <v>5.6</v>
      </c>
      <c r="AQ36" s="38">
        <v>1.2</v>
      </c>
      <c r="AR36" s="38">
        <v>1.9</v>
      </c>
      <c r="AS36" s="39">
        <v>2.5</v>
      </c>
      <c r="AT36" s="36">
        <v>2470</v>
      </c>
      <c r="AU36" s="36">
        <v>490</v>
      </c>
      <c r="AV36" s="36">
        <v>560</v>
      </c>
      <c r="AW36" s="40">
        <v>2020</v>
      </c>
      <c r="AY36" s="37" t="s">
        <v>67</v>
      </c>
      <c r="AZ36" s="38">
        <v>7.1</v>
      </c>
      <c r="BA36" s="38">
        <v>1.6</v>
      </c>
      <c r="BB36" s="38">
        <v>2.8</v>
      </c>
      <c r="BC36" s="39">
        <v>2.8</v>
      </c>
      <c r="BD36" s="36">
        <v>3390</v>
      </c>
      <c r="BE36" s="36">
        <v>590</v>
      </c>
      <c r="BF36" s="36">
        <v>1570</v>
      </c>
      <c r="BG36" s="40">
        <v>2090</v>
      </c>
    </row>
    <row r="37" spans="1:59">
      <c r="A37" s="37" t="s">
        <v>68</v>
      </c>
      <c r="B37" s="38">
        <v>2.7</v>
      </c>
      <c r="C37" s="38">
        <v>0.2</v>
      </c>
      <c r="D37" s="38">
        <v>0.6</v>
      </c>
      <c r="E37" s="39">
        <v>1.8</v>
      </c>
      <c r="F37" s="36">
        <v>1750</v>
      </c>
      <c r="G37" s="36">
        <v>130</v>
      </c>
      <c r="H37" s="36">
        <v>380</v>
      </c>
      <c r="I37" s="40">
        <v>1420</v>
      </c>
      <c r="J37" s="36"/>
      <c r="K37" s="37" t="s">
        <v>68</v>
      </c>
      <c r="L37" s="38">
        <v>2.8</v>
      </c>
      <c r="M37" s="38">
        <v>0.4</v>
      </c>
      <c r="N37" s="38">
        <v>0.7</v>
      </c>
      <c r="O37" s="39">
        <v>1.8</v>
      </c>
      <c r="P37" s="36">
        <v>1940</v>
      </c>
      <c r="Q37" s="36">
        <v>160</v>
      </c>
      <c r="R37" s="36">
        <v>390</v>
      </c>
      <c r="S37" s="40">
        <v>1580</v>
      </c>
      <c r="T37" s="36"/>
      <c r="U37" s="37" t="s">
        <v>68</v>
      </c>
      <c r="V37" s="38">
        <v>3.1</v>
      </c>
      <c r="W37" s="38">
        <v>0.3</v>
      </c>
      <c r="X37" s="38">
        <v>0.8</v>
      </c>
      <c r="Y37" s="39">
        <v>2</v>
      </c>
      <c r="Z37" s="36">
        <v>2340</v>
      </c>
      <c r="AA37" s="36">
        <v>190</v>
      </c>
      <c r="AB37" s="36">
        <v>460</v>
      </c>
      <c r="AC37" s="40">
        <v>1960</v>
      </c>
      <c r="AD37" s="36"/>
      <c r="AE37" s="37" t="s">
        <v>68</v>
      </c>
      <c r="AF37" s="38">
        <v>4.2</v>
      </c>
      <c r="AG37" s="38">
        <v>0.6</v>
      </c>
      <c r="AH37" s="38">
        <v>1.2</v>
      </c>
      <c r="AI37" s="39">
        <v>2.4</v>
      </c>
      <c r="AJ37" s="36">
        <v>2550</v>
      </c>
      <c r="AK37" s="36">
        <v>220</v>
      </c>
      <c r="AL37" s="36">
        <v>550</v>
      </c>
      <c r="AM37" s="40">
        <v>2100</v>
      </c>
      <c r="AO37" s="37" t="s">
        <v>68</v>
      </c>
      <c r="AP37" s="38">
        <v>4.7</v>
      </c>
      <c r="AQ37" s="38">
        <v>0.9</v>
      </c>
      <c r="AR37" s="38">
        <v>1.5</v>
      </c>
      <c r="AS37" s="39">
        <v>2.2999999999999998</v>
      </c>
      <c r="AT37" s="36">
        <v>2350</v>
      </c>
      <c r="AU37" s="36">
        <v>230</v>
      </c>
      <c r="AV37" s="36">
        <v>500</v>
      </c>
      <c r="AW37" s="40">
        <v>1920</v>
      </c>
      <c r="AY37" s="37" t="s">
        <v>68</v>
      </c>
      <c r="AZ37" s="38">
        <v>5.8</v>
      </c>
      <c r="BA37" s="38">
        <v>1.1000000000000001</v>
      </c>
      <c r="BB37" s="38">
        <v>2</v>
      </c>
      <c r="BC37" s="39">
        <v>2.7</v>
      </c>
      <c r="BD37" s="36">
        <v>2500</v>
      </c>
      <c r="BE37" s="36">
        <v>460</v>
      </c>
      <c r="BF37" s="36">
        <v>570</v>
      </c>
      <c r="BG37" s="40">
        <v>2050</v>
      </c>
    </row>
    <row r="38" spans="1:59">
      <c r="A38" s="37" t="s">
        <v>69</v>
      </c>
      <c r="B38" s="38">
        <v>2</v>
      </c>
      <c r="C38" s="38">
        <v>0.1</v>
      </c>
      <c r="D38" s="38">
        <v>0.3</v>
      </c>
      <c r="E38" s="39">
        <v>1.5</v>
      </c>
      <c r="F38" s="36">
        <v>1370</v>
      </c>
      <c r="G38" s="36">
        <v>70</v>
      </c>
      <c r="H38" s="36">
        <v>160</v>
      </c>
      <c r="I38" s="40">
        <v>1230</v>
      </c>
      <c r="J38" s="36"/>
      <c r="K38" s="37" t="s">
        <v>69</v>
      </c>
      <c r="L38" s="38">
        <v>2.1</v>
      </c>
      <c r="M38" s="38">
        <v>0.2</v>
      </c>
      <c r="N38" s="38">
        <v>0.4</v>
      </c>
      <c r="O38" s="39">
        <v>1.6</v>
      </c>
      <c r="P38" s="36">
        <v>1640</v>
      </c>
      <c r="Q38" s="36">
        <v>110</v>
      </c>
      <c r="R38" s="36">
        <v>190</v>
      </c>
      <c r="S38" s="40">
        <v>1460</v>
      </c>
      <c r="T38" s="36"/>
      <c r="U38" s="37" t="s">
        <v>69</v>
      </c>
      <c r="V38" s="38">
        <v>2.4</v>
      </c>
      <c r="W38" s="38">
        <v>0.2</v>
      </c>
      <c r="X38" s="38">
        <v>0.4</v>
      </c>
      <c r="Y38" s="39">
        <v>1.8</v>
      </c>
      <c r="Z38" s="36">
        <v>1960</v>
      </c>
      <c r="AA38" s="36">
        <v>90</v>
      </c>
      <c r="AB38" s="36">
        <v>220</v>
      </c>
      <c r="AC38" s="40">
        <v>1790</v>
      </c>
      <c r="AD38" s="36"/>
      <c r="AE38" s="37" t="s">
        <v>69</v>
      </c>
      <c r="AF38" s="38">
        <v>3.2</v>
      </c>
      <c r="AG38" s="38">
        <v>0.3</v>
      </c>
      <c r="AH38" s="38">
        <v>0.6</v>
      </c>
      <c r="AI38" s="39">
        <v>2.2999999999999998</v>
      </c>
      <c r="AJ38" s="36">
        <v>2410</v>
      </c>
      <c r="AK38" s="36">
        <v>160</v>
      </c>
      <c r="AL38" s="36">
        <v>440</v>
      </c>
      <c r="AM38" s="40">
        <v>2040</v>
      </c>
      <c r="AO38" s="37" t="s">
        <v>69</v>
      </c>
      <c r="AP38" s="38">
        <v>4.3</v>
      </c>
      <c r="AQ38" s="38">
        <v>0.7</v>
      </c>
      <c r="AR38" s="38">
        <v>1.2</v>
      </c>
      <c r="AS38" s="39">
        <v>2.4</v>
      </c>
      <c r="AT38" s="36">
        <v>2360</v>
      </c>
      <c r="AU38" s="36">
        <v>210</v>
      </c>
      <c r="AV38" s="36">
        <v>470</v>
      </c>
      <c r="AW38" s="40">
        <v>1950</v>
      </c>
      <c r="AY38" s="37" t="s">
        <v>69</v>
      </c>
      <c r="AZ38" s="38">
        <v>4.5999999999999996</v>
      </c>
      <c r="BA38" s="38">
        <v>0.7</v>
      </c>
      <c r="BB38" s="38">
        <v>1.5</v>
      </c>
      <c r="BC38" s="39">
        <v>2.4</v>
      </c>
      <c r="BD38" s="36">
        <v>2240</v>
      </c>
      <c r="BE38" s="36">
        <v>190</v>
      </c>
      <c r="BF38" s="36">
        <v>450</v>
      </c>
      <c r="BG38" s="40">
        <v>1870</v>
      </c>
    </row>
    <row r="39" spans="1:59">
      <c r="A39" s="37" t="s">
        <v>70</v>
      </c>
      <c r="B39" s="38">
        <v>1.7</v>
      </c>
      <c r="C39" s="38">
        <v>0.1</v>
      </c>
      <c r="D39" s="38">
        <v>0.3</v>
      </c>
      <c r="E39" s="39">
        <v>1.3</v>
      </c>
      <c r="F39" s="36">
        <v>1140</v>
      </c>
      <c r="G39" s="36">
        <v>60</v>
      </c>
      <c r="H39" s="36">
        <v>100</v>
      </c>
      <c r="I39" s="40">
        <v>1050</v>
      </c>
      <c r="J39" s="36"/>
      <c r="K39" s="37" t="s">
        <v>70</v>
      </c>
      <c r="L39" s="38">
        <v>1.9</v>
      </c>
      <c r="M39" s="38">
        <v>0.2</v>
      </c>
      <c r="N39" s="38">
        <v>0.3</v>
      </c>
      <c r="O39" s="39">
        <v>1.4</v>
      </c>
      <c r="P39" s="36">
        <v>1420</v>
      </c>
      <c r="Q39" s="36">
        <v>60</v>
      </c>
      <c r="R39" s="36">
        <v>110</v>
      </c>
      <c r="S39" s="40">
        <v>1320</v>
      </c>
      <c r="T39" s="36"/>
      <c r="U39" s="37" t="s">
        <v>70</v>
      </c>
      <c r="V39" s="38">
        <v>2.1</v>
      </c>
      <c r="W39" s="38">
        <v>0.2</v>
      </c>
      <c r="X39" s="38">
        <v>0.3</v>
      </c>
      <c r="Y39" s="39">
        <v>1.6</v>
      </c>
      <c r="Z39" s="36">
        <v>1710</v>
      </c>
      <c r="AA39" s="36">
        <v>60</v>
      </c>
      <c r="AB39" s="36">
        <v>130</v>
      </c>
      <c r="AC39" s="40">
        <v>1610</v>
      </c>
      <c r="AD39" s="36"/>
      <c r="AE39" s="37" t="s">
        <v>70</v>
      </c>
      <c r="AF39" s="38">
        <v>2.9</v>
      </c>
      <c r="AG39" s="38">
        <v>0.3</v>
      </c>
      <c r="AH39" s="38">
        <v>0.5</v>
      </c>
      <c r="AI39" s="39">
        <v>2.1</v>
      </c>
      <c r="AJ39" s="36">
        <v>1980</v>
      </c>
      <c r="AK39" s="36">
        <v>130</v>
      </c>
      <c r="AL39" s="36">
        <v>160</v>
      </c>
      <c r="AM39" s="40">
        <v>1850</v>
      </c>
      <c r="AO39" s="37" t="s">
        <v>70</v>
      </c>
      <c r="AP39" s="38">
        <v>3.2</v>
      </c>
      <c r="AQ39" s="38">
        <v>0.4</v>
      </c>
      <c r="AR39" s="38">
        <v>0.7</v>
      </c>
      <c r="AS39" s="39">
        <v>2.1</v>
      </c>
      <c r="AT39" s="36">
        <v>2150</v>
      </c>
      <c r="AU39" s="36">
        <v>160</v>
      </c>
      <c r="AV39" s="36">
        <v>430</v>
      </c>
      <c r="AW39" s="40">
        <v>1780</v>
      </c>
      <c r="AY39" s="37" t="s">
        <v>70</v>
      </c>
      <c r="AZ39" s="38">
        <v>4.2</v>
      </c>
      <c r="BA39" s="38">
        <v>0.5</v>
      </c>
      <c r="BB39" s="38">
        <v>1.3</v>
      </c>
      <c r="BC39" s="39">
        <v>2.4</v>
      </c>
      <c r="BD39" s="36">
        <v>2250</v>
      </c>
      <c r="BE39" s="36">
        <v>180</v>
      </c>
      <c r="BF39" s="36">
        <v>460</v>
      </c>
      <c r="BG39" s="40">
        <v>1860</v>
      </c>
    </row>
    <row r="40" spans="1:59">
      <c r="A40" s="37" t="s">
        <v>71</v>
      </c>
      <c r="B40" s="38">
        <v>1.6</v>
      </c>
      <c r="C40" s="38">
        <v>0.1</v>
      </c>
      <c r="D40" s="38">
        <v>0.2</v>
      </c>
      <c r="E40" s="39">
        <v>1.3</v>
      </c>
      <c r="F40" s="36">
        <v>1090</v>
      </c>
      <c r="G40" s="36">
        <v>50</v>
      </c>
      <c r="H40" s="36">
        <v>80</v>
      </c>
      <c r="I40" s="40">
        <v>1020</v>
      </c>
      <c r="J40" s="36"/>
      <c r="K40" s="37" t="s">
        <v>71</v>
      </c>
      <c r="L40" s="38">
        <v>1.5</v>
      </c>
      <c r="M40" s="38">
        <v>0.1</v>
      </c>
      <c r="N40" s="38">
        <v>0.1</v>
      </c>
      <c r="O40" s="39">
        <v>1.3</v>
      </c>
      <c r="P40" s="36">
        <v>1260</v>
      </c>
      <c r="Q40" s="36">
        <v>40</v>
      </c>
      <c r="R40" s="36">
        <v>60</v>
      </c>
      <c r="S40" s="40">
        <v>1210</v>
      </c>
      <c r="T40" s="36"/>
      <c r="U40" s="37" t="s">
        <v>71</v>
      </c>
      <c r="V40" s="38">
        <v>1.8</v>
      </c>
      <c r="W40" s="38">
        <v>0.1</v>
      </c>
      <c r="X40" s="38">
        <v>0.3</v>
      </c>
      <c r="Y40" s="39">
        <v>1.4</v>
      </c>
      <c r="Z40" s="36">
        <v>1530</v>
      </c>
      <c r="AA40" s="36">
        <v>60</v>
      </c>
      <c r="AB40" s="36">
        <v>110</v>
      </c>
      <c r="AC40" s="40">
        <v>1440</v>
      </c>
      <c r="AD40" s="36"/>
      <c r="AE40" s="37" t="s">
        <v>71</v>
      </c>
      <c r="AF40" s="38">
        <v>2.2999999999999998</v>
      </c>
      <c r="AG40" s="38">
        <v>0.2</v>
      </c>
      <c r="AH40" s="38">
        <v>0.3</v>
      </c>
      <c r="AI40" s="39">
        <v>1.8</v>
      </c>
      <c r="AJ40" s="36">
        <v>1720</v>
      </c>
      <c r="AK40" s="36">
        <v>70</v>
      </c>
      <c r="AL40" s="36">
        <v>130</v>
      </c>
      <c r="AM40" s="40">
        <v>1620</v>
      </c>
      <c r="AO40" s="37" t="s">
        <v>71</v>
      </c>
      <c r="AP40" s="38">
        <v>2.9</v>
      </c>
      <c r="AQ40" s="38">
        <v>0.3</v>
      </c>
      <c r="AR40" s="38">
        <v>0.5</v>
      </c>
      <c r="AS40" s="39">
        <v>2.1</v>
      </c>
      <c r="AT40" s="36">
        <v>1920</v>
      </c>
      <c r="AU40" s="36">
        <v>170</v>
      </c>
      <c r="AV40" s="36">
        <v>200</v>
      </c>
      <c r="AW40" s="40">
        <v>1760</v>
      </c>
      <c r="AY40" s="37" t="s">
        <v>71</v>
      </c>
      <c r="AZ40" s="38">
        <v>3.5</v>
      </c>
      <c r="BA40" s="38">
        <v>0.4</v>
      </c>
      <c r="BB40" s="38">
        <v>0.9</v>
      </c>
      <c r="BC40" s="39">
        <v>2.2999999999999998</v>
      </c>
      <c r="BD40" s="36">
        <v>2130</v>
      </c>
      <c r="BE40" s="36">
        <v>150</v>
      </c>
      <c r="BF40" s="36">
        <v>400</v>
      </c>
      <c r="BG40" s="40">
        <v>1780</v>
      </c>
    </row>
    <row r="41" spans="1:59">
      <c r="A41" s="37" t="s">
        <v>72</v>
      </c>
      <c r="B41" s="38">
        <v>1.3</v>
      </c>
      <c r="C41" s="38">
        <v>0.1</v>
      </c>
      <c r="D41" s="38">
        <v>0.1</v>
      </c>
      <c r="E41" s="39">
        <v>1.1000000000000001</v>
      </c>
      <c r="F41" s="36">
        <v>930</v>
      </c>
      <c r="G41" s="36">
        <v>30</v>
      </c>
      <c r="H41" s="36">
        <v>50</v>
      </c>
      <c r="I41" s="40">
        <v>890</v>
      </c>
      <c r="J41" s="36"/>
      <c r="K41" s="37" t="s">
        <v>72</v>
      </c>
      <c r="L41" s="38">
        <v>1.4</v>
      </c>
      <c r="M41" s="38">
        <v>0.1</v>
      </c>
      <c r="N41" s="38">
        <v>0.2</v>
      </c>
      <c r="O41" s="39">
        <v>1.1000000000000001</v>
      </c>
      <c r="P41" s="36">
        <v>1130</v>
      </c>
      <c r="Q41" s="36">
        <v>50</v>
      </c>
      <c r="R41" s="36">
        <v>70</v>
      </c>
      <c r="S41" s="40">
        <v>1060</v>
      </c>
      <c r="T41" s="36"/>
      <c r="U41" s="37" t="s">
        <v>72</v>
      </c>
      <c r="V41" s="38">
        <v>1.5</v>
      </c>
      <c r="W41" s="38">
        <v>0.1</v>
      </c>
      <c r="X41" s="38">
        <v>0.1</v>
      </c>
      <c r="Y41" s="39">
        <v>1.3</v>
      </c>
      <c r="Z41" s="36">
        <v>1340</v>
      </c>
      <c r="AA41" s="36">
        <v>40</v>
      </c>
      <c r="AB41" s="36">
        <v>70</v>
      </c>
      <c r="AC41" s="40">
        <v>1280</v>
      </c>
      <c r="AD41" s="36"/>
      <c r="AE41" s="37" t="s">
        <v>72</v>
      </c>
      <c r="AF41" s="38">
        <v>2.1</v>
      </c>
      <c r="AG41" s="38">
        <v>0.1</v>
      </c>
      <c r="AH41" s="38">
        <v>0.2</v>
      </c>
      <c r="AI41" s="39">
        <v>1.7</v>
      </c>
      <c r="AJ41" s="36">
        <v>1670</v>
      </c>
      <c r="AK41" s="36">
        <v>60</v>
      </c>
      <c r="AL41" s="36">
        <v>100</v>
      </c>
      <c r="AM41" s="40">
        <v>1590</v>
      </c>
      <c r="AO41" s="37" t="s">
        <v>72</v>
      </c>
      <c r="AP41" s="38">
        <v>2.4</v>
      </c>
      <c r="AQ41" s="38">
        <v>0.2</v>
      </c>
      <c r="AR41" s="38">
        <v>0.3</v>
      </c>
      <c r="AS41" s="39">
        <v>2</v>
      </c>
      <c r="AT41" s="36">
        <v>1770</v>
      </c>
      <c r="AU41" s="36">
        <v>70</v>
      </c>
      <c r="AV41" s="36">
        <v>110</v>
      </c>
      <c r="AW41" s="40">
        <v>1680</v>
      </c>
      <c r="AY41" s="37" t="s">
        <v>72</v>
      </c>
      <c r="AZ41" s="38">
        <v>2.9</v>
      </c>
      <c r="BA41" s="38">
        <v>0.3</v>
      </c>
      <c r="BB41" s="38">
        <v>0.5</v>
      </c>
      <c r="BC41" s="39">
        <v>2.1</v>
      </c>
      <c r="BD41" s="36">
        <v>1940</v>
      </c>
      <c r="BE41" s="36">
        <v>130</v>
      </c>
      <c r="BF41" s="36">
        <v>330</v>
      </c>
      <c r="BG41" s="40">
        <v>1650</v>
      </c>
    </row>
    <row r="42" spans="1:59">
      <c r="A42" s="37" t="s">
        <v>73</v>
      </c>
      <c r="B42" s="38">
        <v>1.1000000000000001</v>
      </c>
      <c r="C42" s="38">
        <v>0</v>
      </c>
      <c r="D42" s="38">
        <v>0</v>
      </c>
      <c r="E42" s="39">
        <v>1</v>
      </c>
      <c r="F42" s="36">
        <v>850</v>
      </c>
      <c r="G42" s="36">
        <v>30</v>
      </c>
      <c r="H42" s="36">
        <v>30</v>
      </c>
      <c r="I42" s="40">
        <v>820</v>
      </c>
      <c r="J42" s="36"/>
      <c r="K42" s="37" t="s">
        <v>73</v>
      </c>
      <c r="L42" s="38">
        <v>1.2</v>
      </c>
      <c r="M42" s="38">
        <v>0.1</v>
      </c>
      <c r="N42" s="38">
        <v>0.1</v>
      </c>
      <c r="O42" s="39">
        <v>1.1000000000000001</v>
      </c>
      <c r="P42" s="36">
        <v>1010</v>
      </c>
      <c r="Q42" s="36">
        <v>40</v>
      </c>
      <c r="R42" s="36">
        <v>50</v>
      </c>
      <c r="S42" s="40">
        <v>970</v>
      </c>
      <c r="T42" s="36"/>
      <c r="U42" s="37" t="s">
        <v>73</v>
      </c>
      <c r="V42" s="38">
        <v>1.3</v>
      </c>
      <c r="W42" s="38">
        <v>0.1</v>
      </c>
      <c r="X42" s="38">
        <v>0.1</v>
      </c>
      <c r="Y42" s="39">
        <v>1.2</v>
      </c>
      <c r="Z42" s="36">
        <v>1240</v>
      </c>
      <c r="AA42" s="36">
        <v>20</v>
      </c>
      <c r="AB42" s="36">
        <v>50</v>
      </c>
      <c r="AC42" s="40">
        <v>1190</v>
      </c>
      <c r="AD42" s="36"/>
      <c r="AE42" s="37" t="s">
        <v>73</v>
      </c>
      <c r="AF42" s="38">
        <v>1.8</v>
      </c>
      <c r="AG42" s="38">
        <v>0.1</v>
      </c>
      <c r="AH42" s="38">
        <v>0.2</v>
      </c>
      <c r="AI42" s="39">
        <v>1.6</v>
      </c>
      <c r="AJ42" s="36">
        <v>1500</v>
      </c>
      <c r="AK42" s="36">
        <v>50</v>
      </c>
      <c r="AL42" s="36">
        <v>80</v>
      </c>
      <c r="AM42" s="40">
        <v>1430</v>
      </c>
      <c r="AO42" s="37" t="s">
        <v>73</v>
      </c>
      <c r="AP42" s="38">
        <v>2.2000000000000002</v>
      </c>
      <c r="AQ42" s="38">
        <v>0.2</v>
      </c>
      <c r="AR42" s="38">
        <v>0.3</v>
      </c>
      <c r="AS42" s="39">
        <v>1.7</v>
      </c>
      <c r="AT42" s="36">
        <v>1560</v>
      </c>
      <c r="AU42" s="36">
        <v>80</v>
      </c>
      <c r="AV42" s="36">
        <v>110</v>
      </c>
      <c r="AW42" s="40">
        <v>1470</v>
      </c>
      <c r="AY42" s="37" t="s">
        <v>73</v>
      </c>
      <c r="AZ42" s="38">
        <v>2.6</v>
      </c>
      <c r="BA42" s="38">
        <v>0.2</v>
      </c>
      <c r="BB42" s="38">
        <v>0.4</v>
      </c>
      <c r="BC42" s="39">
        <v>2</v>
      </c>
      <c r="BD42" s="36">
        <v>1750</v>
      </c>
      <c r="BE42" s="36">
        <v>90</v>
      </c>
      <c r="BF42" s="36">
        <v>160</v>
      </c>
      <c r="BG42" s="40">
        <v>1620</v>
      </c>
    </row>
    <row r="43" spans="1:59">
      <c r="A43" s="37" t="s">
        <v>74</v>
      </c>
      <c r="B43" s="38">
        <v>0.9</v>
      </c>
      <c r="C43" s="38">
        <v>0</v>
      </c>
      <c r="D43" s="38">
        <v>0.1</v>
      </c>
      <c r="E43" s="39">
        <v>0.8</v>
      </c>
      <c r="F43" s="36">
        <v>710</v>
      </c>
      <c r="G43" s="36">
        <v>20</v>
      </c>
      <c r="H43" s="36">
        <v>30</v>
      </c>
      <c r="I43" s="40">
        <v>680</v>
      </c>
      <c r="J43" s="36"/>
      <c r="K43" s="37" t="s">
        <v>74</v>
      </c>
      <c r="L43" s="38">
        <v>1</v>
      </c>
      <c r="M43" s="38">
        <v>0</v>
      </c>
      <c r="N43" s="38">
        <v>0</v>
      </c>
      <c r="O43" s="39">
        <v>0.9</v>
      </c>
      <c r="P43" s="36">
        <v>890</v>
      </c>
      <c r="Q43" s="36">
        <v>30</v>
      </c>
      <c r="R43" s="36">
        <v>30</v>
      </c>
      <c r="S43" s="40">
        <v>870</v>
      </c>
      <c r="T43" s="36"/>
      <c r="U43" s="37" t="s">
        <v>74</v>
      </c>
      <c r="V43" s="38">
        <v>1.2</v>
      </c>
      <c r="W43" s="38">
        <v>0.1</v>
      </c>
      <c r="X43" s="38">
        <v>0.1</v>
      </c>
      <c r="Y43" s="39">
        <v>1.1000000000000001</v>
      </c>
      <c r="Z43" s="36">
        <v>1060</v>
      </c>
      <c r="AA43" s="36">
        <v>20</v>
      </c>
      <c r="AB43" s="36">
        <v>30</v>
      </c>
      <c r="AC43" s="40">
        <v>1040</v>
      </c>
      <c r="AD43" s="36"/>
      <c r="AE43" s="37" t="s">
        <v>74</v>
      </c>
      <c r="AF43" s="38">
        <v>1.4</v>
      </c>
      <c r="AG43" s="38">
        <v>0.1</v>
      </c>
      <c r="AH43" s="38">
        <v>0.1</v>
      </c>
      <c r="AI43" s="39">
        <v>1.3</v>
      </c>
      <c r="AJ43" s="36">
        <v>1280</v>
      </c>
      <c r="AK43" s="36">
        <v>30</v>
      </c>
      <c r="AL43" s="36">
        <v>50</v>
      </c>
      <c r="AM43" s="40">
        <v>1240</v>
      </c>
      <c r="AO43" s="37" t="s">
        <v>74</v>
      </c>
      <c r="AP43" s="38">
        <v>1.9</v>
      </c>
      <c r="AQ43" s="38">
        <v>0.1</v>
      </c>
      <c r="AR43" s="38">
        <v>0.2</v>
      </c>
      <c r="AS43" s="39">
        <v>1.6</v>
      </c>
      <c r="AT43" s="36">
        <v>1450</v>
      </c>
      <c r="AU43" s="36">
        <v>50</v>
      </c>
      <c r="AV43" s="36">
        <v>90</v>
      </c>
      <c r="AW43" s="40">
        <v>1370</v>
      </c>
      <c r="AY43" s="37" t="s">
        <v>74</v>
      </c>
      <c r="AZ43" s="38">
        <v>2.2999999999999998</v>
      </c>
      <c r="BA43" s="38">
        <v>0.1</v>
      </c>
      <c r="BB43" s="38">
        <v>0.3</v>
      </c>
      <c r="BC43" s="39">
        <v>1.9</v>
      </c>
      <c r="BD43" s="36">
        <v>1560</v>
      </c>
      <c r="BE43" s="36">
        <v>50</v>
      </c>
      <c r="BF43" s="36">
        <v>90</v>
      </c>
      <c r="BG43" s="40">
        <v>1490</v>
      </c>
    </row>
    <row r="44" spans="1:59">
      <c r="A44" s="37" t="s">
        <v>75</v>
      </c>
      <c r="B44" s="38">
        <v>0.8</v>
      </c>
      <c r="C44" s="38">
        <v>0</v>
      </c>
      <c r="D44" s="38">
        <v>0</v>
      </c>
      <c r="E44" s="39">
        <v>0.8</v>
      </c>
      <c r="F44" s="36">
        <v>670</v>
      </c>
      <c r="G44" s="36">
        <v>20</v>
      </c>
      <c r="H44" s="36">
        <v>20</v>
      </c>
      <c r="I44" s="40">
        <v>650</v>
      </c>
      <c r="J44" s="36"/>
      <c r="K44" s="37" t="s">
        <v>75</v>
      </c>
      <c r="L44" s="38">
        <v>0.9</v>
      </c>
      <c r="M44" s="38">
        <v>0</v>
      </c>
      <c r="N44" s="38">
        <v>0</v>
      </c>
      <c r="O44" s="39">
        <v>0.9</v>
      </c>
      <c r="P44" s="36">
        <v>830</v>
      </c>
      <c r="Q44" s="36">
        <v>20</v>
      </c>
      <c r="R44" s="36">
        <v>20</v>
      </c>
      <c r="S44" s="40">
        <v>800</v>
      </c>
      <c r="T44" s="36"/>
      <c r="U44" s="37" t="s">
        <v>75</v>
      </c>
      <c r="V44" s="38">
        <v>1.1000000000000001</v>
      </c>
      <c r="W44" s="38">
        <v>0</v>
      </c>
      <c r="X44" s="38">
        <v>0</v>
      </c>
      <c r="Y44" s="39">
        <v>1.1000000000000001</v>
      </c>
      <c r="Z44" s="36">
        <v>1070</v>
      </c>
      <c r="AA44" s="36">
        <v>20</v>
      </c>
      <c r="AB44" s="36">
        <v>20</v>
      </c>
      <c r="AC44" s="40">
        <v>1050</v>
      </c>
      <c r="AD44" s="36"/>
      <c r="AE44" s="37" t="s">
        <v>75</v>
      </c>
      <c r="AF44" s="38">
        <v>1.4</v>
      </c>
      <c r="AG44" s="38">
        <v>0</v>
      </c>
      <c r="AH44" s="38">
        <v>0.1</v>
      </c>
      <c r="AI44" s="39">
        <v>1.3</v>
      </c>
      <c r="AJ44" s="36">
        <v>1240</v>
      </c>
      <c r="AK44" s="36">
        <v>30</v>
      </c>
      <c r="AL44" s="36">
        <v>30</v>
      </c>
      <c r="AM44" s="40">
        <v>1210</v>
      </c>
      <c r="AO44" s="37" t="s">
        <v>75</v>
      </c>
      <c r="AP44" s="38">
        <v>1.7</v>
      </c>
      <c r="AQ44" s="38">
        <v>0.1</v>
      </c>
      <c r="AR44" s="38">
        <v>0.1</v>
      </c>
      <c r="AS44" s="39">
        <v>1.5</v>
      </c>
      <c r="AT44" s="36">
        <v>1350</v>
      </c>
      <c r="AU44" s="36">
        <v>40</v>
      </c>
      <c r="AV44" s="36">
        <v>70</v>
      </c>
      <c r="AW44" s="40">
        <v>1290</v>
      </c>
      <c r="AY44" s="37" t="s">
        <v>75</v>
      </c>
      <c r="AZ44" s="38">
        <v>2</v>
      </c>
      <c r="BA44" s="38">
        <v>0.1</v>
      </c>
      <c r="BB44" s="38">
        <v>0.2</v>
      </c>
      <c r="BC44" s="39">
        <v>1.6</v>
      </c>
      <c r="BD44" s="36">
        <v>1450</v>
      </c>
      <c r="BE44" s="36">
        <v>60</v>
      </c>
      <c r="BF44" s="36">
        <v>100</v>
      </c>
      <c r="BG44" s="40">
        <v>1360</v>
      </c>
    </row>
    <row r="45" spans="1:59">
      <c r="A45" s="37" t="s">
        <v>76</v>
      </c>
      <c r="B45" s="38">
        <v>0.7</v>
      </c>
      <c r="C45" s="38">
        <v>0</v>
      </c>
      <c r="D45" s="38">
        <v>0</v>
      </c>
      <c r="E45" s="39">
        <v>0.7</v>
      </c>
      <c r="F45" s="36">
        <v>580</v>
      </c>
      <c r="G45" s="36">
        <v>10</v>
      </c>
      <c r="H45" s="36">
        <v>20</v>
      </c>
      <c r="I45" s="40">
        <v>560</v>
      </c>
      <c r="J45" s="36"/>
      <c r="K45" s="37" t="s">
        <v>76</v>
      </c>
      <c r="L45" s="38">
        <v>0.8</v>
      </c>
      <c r="M45" s="38">
        <v>0</v>
      </c>
      <c r="N45" s="38">
        <v>0</v>
      </c>
      <c r="O45" s="39">
        <v>0.8</v>
      </c>
      <c r="P45" s="36">
        <v>690</v>
      </c>
      <c r="Q45" s="36">
        <v>10</v>
      </c>
      <c r="R45" s="36">
        <v>20</v>
      </c>
      <c r="S45" s="40">
        <v>670</v>
      </c>
      <c r="T45" s="36"/>
      <c r="U45" s="37" t="s">
        <v>76</v>
      </c>
      <c r="V45" s="38">
        <v>1</v>
      </c>
      <c r="W45" s="38">
        <v>0</v>
      </c>
      <c r="X45" s="38">
        <v>0</v>
      </c>
      <c r="Y45" s="39">
        <v>0.9</v>
      </c>
      <c r="Z45" s="36">
        <v>950</v>
      </c>
      <c r="AA45" s="36">
        <v>20</v>
      </c>
      <c r="AB45" s="36">
        <v>20</v>
      </c>
      <c r="AC45" s="40">
        <v>930</v>
      </c>
      <c r="AD45" s="36"/>
      <c r="AE45" s="37" t="s">
        <v>76</v>
      </c>
      <c r="AF45" s="38">
        <v>1.3</v>
      </c>
      <c r="AG45" s="38">
        <v>0</v>
      </c>
      <c r="AH45" s="38">
        <v>0</v>
      </c>
      <c r="AI45" s="39">
        <v>1.2</v>
      </c>
      <c r="AJ45" s="36">
        <v>1100</v>
      </c>
      <c r="AK45" s="36">
        <v>20</v>
      </c>
      <c r="AL45" s="36">
        <v>20</v>
      </c>
      <c r="AM45" s="40">
        <v>1080</v>
      </c>
      <c r="AO45" s="37" t="s">
        <v>76</v>
      </c>
      <c r="AP45" s="38">
        <v>1.5</v>
      </c>
      <c r="AQ45" s="38">
        <v>0</v>
      </c>
      <c r="AR45" s="38">
        <v>0.1</v>
      </c>
      <c r="AS45" s="39">
        <v>1.3</v>
      </c>
      <c r="AT45" s="36">
        <v>1210</v>
      </c>
      <c r="AU45" s="36">
        <v>40</v>
      </c>
      <c r="AV45" s="36">
        <v>50</v>
      </c>
      <c r="AW45" s="40">
        <v>1170</v>
      </c>
      <c r="AY45" s="37" t="s">
        <v>76</v>
      </c>
      <c r="AZ45" s="38">
        <v>1.8</v>
      </c>
      <c r="BA45" s="38">
        <v>0.1</v>
      </c>
      <c r="BB45" s="38">
        <v>0.2</v>
      </c>
      <c r="BC45" s="39">
        <v>1.5</v>
      </c>
      <c r="BD45" s="36">
        <v>1290</v>
      </c>
      <c r="BE45" s="36">
        <v>40</v>
      </c>
      <c r="BF45" s="36">
        <v>70</v>
      </c>
      <c r="BG45" s="40">
        <v>1230</v>
      </c>
    </row>
    <row r="46" spans="1:59">
      <c r="A46" s="37" t="s">
        <v>77</v>
      </c>
      <c r="B46" s="38">
        <v>8.1</v>
      </c>
      <c r="C46" s="38">
        <v>0.1</v>
      </c>
      <c r="D46" s="38">
        <v>0.1</v>
      </c>
      <c r="E46" s="39">
        <v>7.9</v>
      </c>
      <c r="F46" s="36">
        <v>6380</v>
      </c>
      <c r="G46" s="36">
        <v>80</v>
      </c>
      <c r="H46" s="36">
        <v>60</v>
      </c>
      <c r="I46" s="40">
        <v>6310</v>
      </c>
      <c r="J46" s="36"/>
      <c r="K46" s="37" t="s">
        <v>77</v>
      </c>
      <c r="L46" s="38">
        <v>9.6</v>
      </c>
      <c r="M46" s="38">
        <v>0.2</v>
      </c>
      <c r="N46" s="38">
        <v>0.1</v>
      </c>
      <c r="O46" s="39">
        <v>9.3000000000000007</v>
      </c>
      <c r="P46" s="36">
        <v>8520</v>
      </c>
      <c r="Q46" s="36">
        <v>120</v>
      </c>
      <c r="R46" s="36">
        <v>80</v>
      </c>
      <c r="S46" s="40">
        <v>8410</v>
      </c>
      <c r="T46" s="36"/>
      <c r="U46" s="37" t="s">
        <v>77</v>
      </c>
      <c r="V46" s="38">
        <v>11.3</v>
      </c>
      <c r="W46" s="38">
        <v>0.3</v>
      </c>
      <c r="X46" s="38">
        <v>0.1</v>
      </c>
      <c r="Y46" s="39">
        <v>10.9</v>
      </c>
      <c r="Z46" s="36">
        <v>10840</v>
      </c>
      <c r="AA46" s="36">
        <v>130</v>
      </c>
      <c r="AB46" s="36">
        <v>120</v>
      </c>
      <c r="AC46" s="40">
        <v>10720</v>
      </c>
      <c r="AD46" s="36"/>
      <c r="AE46" s="37" t="s">
        <v>77</v>
      </c>
      <c r="AF46" s="38">
        <v>14.9</v>
      </c>
      <c r="AG46" s="38">
        <v>0.4</v>
      </c>
      <c r="AH46" s="38">
        <v>0.1</v>
      </c>
      <c r="AI46" s="39">
        <v>14.4</v>
      </c>
      <c r="AJ46" s="36">
        <v>13650</v>
      </c>
      <c r="AK46" s="36">
        <v>140</v>
      </c>
      <c r="AL46" s="36">
        <v>130</v>
      </c>
      <c r="AM46" s="40">
        <v>13510</v>
      </c>
      <c r="AO46" s="37" t="s">
        <v>77</v>
      </c>
      <c r="AP46" s="38">
        <v>18.600000000000001</v>
      </c>
      <c r="AQ46" s="38">
        <v>0.4</v>
      </c>
      <c r="AR46" s="38">
        <v>0.2</v>
      </c>
      <c r="AS46" s="39">
        <v>18</v>
      </c>
      <c r="AT46" s="36">
        <v>16170</v>
      </c>
      <c r="AU46" s="36">
        <v>220</v>
      </c>
      <c r="AV46" s="36">
        <v>180</v>
      </c>
      <c r="AW46" s="40">
        <v>15970</v>
      </c>
      <c r="AY46" s="37" t="s">
        <v>77</v>
      </c>
      <c r="AZ46" s="38">
        <v>20.3</v>
      </c>
      <c r="BA46" s="38">
        <v>0.6</v>
      </c>
      <c r="BB46" s="38">
        <v>0.4</v>
      </c>
      <c r="BC46" s="39">
        <v>19.3</v>
      </c>
      <c r="BD46" s="36">
        <v>16800</v>
      </c>
      <c r="BE46" s="36">
        <v>240</v>
      </c>
      <c r="BF46" s="36">
        <v>290</v>
      </c>
      <c r="BG46" s="40">
        <v>16520</v>
      </c>
    </row>
    <row r="47" spans="1:59" s="50" customFormat="1">
      <c r="A47" s="41" t="s">
        <v>29</v>
      </c>
      <c r="B47" s="42">
        <v>18.399999999999999</v>
      </c>
      <c r="C47" s="42">
        <v>13.5</v>
      </c>
      <c r="D47" s="42">
        <v>3.9</v>
      </c>
      <c r="E47" s="43">
        <v>0.8</v>
      </c>
      <c r="F47" s="44">
        <v>2430</v>
      </c>
      <c r="G47" s="44">
        <v>2080</v>
      </c>
      <c r="H47" s="44">
        <v>1430</v>
      </c>
      <c r="I47" s="45">
        <v>440</v>
      </c>
      <c r="J47" s="44"/>
      <c r="K47" s="41" t="s">
        <v>29</v>
      </c>
      <c r="L47" s="46">
        <v>18.399999999999999</v>
      </c>
      <c r="M47" s="46">
        <v>13.6</v>
      </c>
      <c r="N47" s="46">
        <v>3.6</v>
      </c>
      <c r="O47" s="47">
        <v>1.2</v>
      </c>
      <c r="P47" s="48">
        <v>2450</v>
      </c>
      <c r="Q47" s="48">
        <v>2070</v>
      </c>
      <c r="R47" s="48">
        <v>1390</v>
      </c>
      <c r="S47" s="49">
        <v>610</v>
      </c>
      <c r="T47" s="44"/>
      <c r="U47" s="41" t="s">
        <v>29</v>
      </c>
      <c r="V47" s="46">
        <v>17.8</v>
      </c>
      <c r="W47" s="46">
        <v>13.1</v>
      </c>
      <c r="X47" s="46">
        <v>3.1</v>
      </c>
      <c r="Y47" s="47">
        <v>1.4</v>
      </c>
      <c r="Z47" s="48">
        <v>2450</v>
      </c>
      <c r="AA47" s="48">
        <v>1990</v>
      </c>
      <c r="AB47" s="48">
        <v>1230</v>
      </c>
      <c r="AC47" s="49">
        <v>760</v>
      </c>
      <c r="AD47" s="44"/>
      <c r="AE47" s="41" t="s">
        <v>29</v>
      </c>
      <c r="AF47" s="46">
        <v>21.1</v>
      </c>
      <c r="AG47" s="46">
        <v>15.8</v>
      </c>
      <c r="AH47" s="46">
        <v>3.5</v>
      </c>
      <c r="AI47" s="47">
        <v>1.7</v>
      </c>
      <c r="AJ47" s="48">
        <v>2700</v>
      </c>
      <c r="AK47" s="48">
        <v>2200</v>
      </c>
      <c r="AL47" s="48">
        <v>1520</v>
      </c>
      <c r="AM47" s="49">
        <v>900</v>
      </c>
      <c r="AO47" s="41" t="s">
        <v>29</v>
      </c>
      <c r="AP47" s="42">
        <v>21.1</v>
      </c>
      <c r="AQ47" s="42">
        <v>15.9</v>
      </c>
      <c r="AR47" s="42">
        <v>3.3</v>
      </c>
      <c r="AS47" s="43">
        <v>1.9</v>
      </c>
      <c r="AT47" s="44">
        <v>2570</v>
      </c>
      <c r="AU47" s="44">
        <v>2080</v>
      </c>
      <c r="AV47" s="44">
        <v>1460</v>
      </c>
      <c r="AW47" s="45">
        <v>930</v>
      </c>
      <c r="AY47" s="41" t="s">
        <v>29</v>
      </c>
      <c r="AZ47" s="42">
        <v>37.700000000000003</v>
      </c>
      <c r="BA47" s="42">
        <v>27.4</v>
      </c>
      <c r="BB47" s="42">
        <v>6.7</v>
      </c>
      <c r="BC47" s="43">
        <v>3.6</v>
      </c>
      <c r="BD47" s="44">
        <v>4460</v>
      </c>
      <c r="BE47" s="44">
        <v>3390</v>
      </c>
      <c r="BF47" s="44">
        <v>2410</v>
      </c>
      <c r="BG47" s="45">
        <v>1730</v>
      </c>
    </row>
    <row r="48" spans="1:59" s="50" customFormat="1">
      <c r="A48" s="51" t="s">
        <v>35</v>
      </c>
      <c r="B48" s="52">
        <v>0</v>
      </c>
      <c r="C48" s="52">
        <v>-0.2</v>
      </c>
      <c r="D48" s="52">
        <v>-0.1</v>
      </c>
      <c r="E48" s="53">
        <v>0.3</v>
      </c>
      <c r="F48" s="54">
        <v>40</v>
      </c>
      <c r="G48" s="54">
        <v>-50</v>
      </c>
      <c r="H48" s="54">
        <v>-30</v>
      </c>
      <c r="I48" s="55">
        <v>10</v>
      </c>
      <c r="J48" s="44"/>
      <c r="K48" s="51" t="s">
        <v>35</v>
      </c>
      <c r="L48" s="52">
        <v>-0.1</v>
      </c>
      <c r="M48" s="52">
        <v>-0.4</v>
      </c>
      <c r="N48" s="52">
        <v>0.1</v>
      </c>
      <c r="O48" s="53">
        <v>-0.4</v>
      </c>
      <c r="P48" s="54">
        <v>30</v>
      </c>
      <c r="Q48" s="54">
        <v>-70</v>
      </c>
      <c r="R48" s="54">
        <v>-30</v>
      </c>
      <c r="S48" s="55">
        <v>30</v>
      </c>
      <c r="T48" s="44"/>
      <c r="U48" s="51" t="s">
        <v>35</v>
      </c>
      <c r="V48" s="52">
        <v>0.3</v>
      </c>
      <c r="W48" s="52">
        <v>0.3</v>
      </c>
      <c r="X48" s="52">
        <v>-0.2</v>
      </c>
      <c r="Y48" s="53">
        <v>0.3</v>
      </c>
      <c r="Z48" s="54">
        <v>-20</v>
      </c>
      <c r="AA48" s="54">
        <v>0</v>
      </c>
      <c r="AB48" s="54">
        <v>-40</v>
      </c>
      <c r="AC48" s="55">
        <v>0</v>
      </c>
      <c r="AD48" s="44"/>
      <c r="AE48" s="51" t="s">
        <v>35</v>
      </c>
      <c r="AF48" s="52">
        <v>0.5</v>
      </c>
      <c r="AG48" s="52">
        <v>-0.2</v>
      </c>
      <c r="AH48" s="52">
        <v>-0.2</v>
      </c>
      <c r="AI48" s="53">
        <v>0.2</v>
      </c>
      <c r="AJ48" s="54">
        <v>-30</v>
      </c>
      <c r="AK48" s="54">
        <v>-30</v>
      </c>
      <c r="AL48" s="54">
        <v>-20</v>
      </c>
      <c r="AM48" s="55">
        <v>-40</v>
      </c>
      <c r="AO48" s="51" t="s">
        <v>35</v>
      </c>
      <c r="AP48" s="52">
        <v>-0.4</v>
      </c>
      <c r="AQ48" s="52">
        <v>-0.2</v>
      </c>
      <c r="AR48" s="52">
        <v>-0.3</v>
      </c>
      <c r="AS48" s="53">
        <v>0.3</v>
      </c>
      <c r="AT48" s="54">
        <v>40</v>
      </c>
      <c r="AU48" s="54">
        <v>20</v>
      </c>
      <c r="AV48" s="54">
        <v>50</v>
      </c>
      <c r="AW48" s="55">
        <v>-20</v>
      </c>
      <c r="AY48" s="51" t="s">
        <v>35</v>
      </c>
      <c r="AZ48" s="52">
        <v>-0.4</v>
      </c>
      <c r="BA48" s="52">
        <v>-0.1</v>
      </c>
      <c r="BB48" s="52">
        <v>0.2</v>
      </c>
      <c r="BC48" s="53">
        <v>0.4</v>
      </c>
      <c r="BD48" s="54">
        <v>0</v>
      </c>
      <c r="BE48" s="54">
        <v>-30</v>
      </c>
      <c r="BF48" s="54">
        <v>0</v>
      </c>
      <c r="BG48" s="55">
        <v>-10</v>
      </c>
    </row>
    <row r="49" spans="1:59" s="50" customFormat="1">
      <c r="A49" s="56" t="s">
        <v>82</v>
      </c>
      <c r="B49" s="54">
        <v>2937</v>
      </c>
      <c r="C49" s="54">
        <v>2158</v>
      </c>
      <c r="D49" s="54">
        <v>605</v>
      </c>
      <c r="E49" s="55">
        <v>160</v>
      </c>
      <c r="F49" s="54">
        <v>355700</v>
      </c>
      <c r="G49" s="54">
        <v>287900</v>
      </c>
      <c r="H49" s="54">
        <v>197200</v>
      </c>
      <c r="I49" s="55">
        <v>88400</v>
      </c>
      <c r="J49" s="44"/>
      <c r="K49" s="56" t="s">
        <v>82</v>
      </c>
      <c r="L49" s="54">
        <v>2912</v>
      </c>
      <c r="M49" s="54">
        <v>2091</v>
      </c>
      <c r="N49" s="54">
        <v>559</v>
      </c>
      <c r="O49" s="55">
        <v>248</v>
      </c>
      <c r="P49" s="54">
        <v>352700</v>
      </c>
      <c r="Q49" s="54">
        <v>279300</v>
      </c>
      <c r="R49" s="54">
        <v>187900</v>
      </c>
      <c r="S49" s="55">
        <v>117300</v>
      </c>
      <c r="T49" s="45"/>
      <c r="U49" s="56" t="s">
        <v>82</v>
      </c>
      <c r="V49" s="54">
        <v>2798</v>
      </c>
      <c r="W49" s="54">
        <v>1977</v>
      </c>
      <c r="X49" s="54">
        <v>510</v>
      </c>
      <c r="Y49" s="55">
        <v>298</v>
      </c>
      <c r="Z49" s="54">
        <v>345700</v>
      </c>
      <c r="AA49" s="54">
        <v>266000</v>
      </c>
      <c r="AB49" s="54">
        <v>173500</v>
      </c>
      <c r="AC49" s="55">
        <v>139200</v>
      </c>
      <c r="AD49" s="57"/>
      <c r="AE49" s="56" t="s">
        <v>82</v>
      </c>
      <c r="AF49" s="54">
        <v>2963</v>
      </c>
      <c r="AG49" s="54">
        <v>2162</v>
      </c>
      <c r="AH49" s="54">
        <v>475</v>
      </c>
      <c r="AI49" s="55">
        <v>313</v>
      </c>
      <c r="AJ49" s="54">
        <v>337700</v>
      </c>
      <c r="AK49" s="54">
        <v>258200</v>
      </c>
      <c r="AL49" s="54">
        <v>163700</v>
      </c>
      <c r="AM49" s="55">
        <v>142600</v>
      </c>
      <c r="AO49" s="56" t="s">
        <v>82</v>
      </c>
      <c r="AP49" s="54">
        <v>3061</v>
      </c>
      <c r="AQ49" s="54">
        <v>2285</v>
      </c>
      <c r="AR49" s="54">
        <v>443</v>
      </c>
      <c r="AS49" s="55">
        <v>322</v>
      </c>
      <c r="AT49" s="54">
        <v>330600</v>
      </c>
      <c r="AU49" s="54">
        <v>254100</v>
      </c>
      <c r="AV49" s="54">
        <v>152700</v>
      </c>
      <c r="AW49" s="55">
        <v>138000</v>
      </c>
      <c r="AY49" s="56" t="s">
        <v>82</v>
      </c>
      <c r="AZ49" s="54">
        <v>3307</v>
      </c>
      <c r="BA49" s="54">
        <v>2431</v>
      </c>
      <c r="BB49" s="54">
        <v>532</v>
      </c>
      <c r="BC49" s="55">
        <v>334</v>
      </c>
      <c r="BD49" s="54">
        <v>336500</v>
      </c>
      <c r="BE49" s="54">
        <v>255400</v>
      </c>
      <c r="BF49" s="54">
        <v>152500</v>
      </c>
      <c r="BG49" s="55">
        <v>137600</v>
      </c>
    </row>
    <row r="50" spans="1:59">
      <c r="A50" s="22" t="s">
        <v>34</v>
      </c>
      <c r="K50" s="22" t="s">
        <v>34</v>
      </c>
      <c r="U50" s="22" t="s">
        <v>34</v>
      </c>
      <c r="AE50" s="22" t="s">
        <v>34</v>
      </c>
      <c r="AO50" s="22" t="s">
        <v>34</v>
      </c>
      <c r="AY50" s="22" t="s">
        <v>34</v>
      </c>
    </row>
    <row r="51" spans="1:59">
      <c r="A51" s="58" t="s">
        <v>83</v>
      </c>
      <c r="K51" s="58" t="s">
        <v>83</v>
      </c>
      <c r="U51" s="58" t="s">
        <v>83</v>
      </c>
      <c r="AE51" s="58" t="s">
        <v>83</v>
      </c>
      <c r="AO51" s="58" t="s">
        <v>83</v>
      </c>
      <c r="AY51" s="58" t="s">
        <v>83</v>
      </c>
    </row>
    <row r="54" spans="1:59">
      <c r="A54" s="59"/>
      <c r="B54" s="60"/>
      <c r="C54" s="60"/>
      <c r="D54" s="60"/>
      <c r="E54" s="60"/>
      <c r="F54" s="60"/>
      <c r="G54" s="60"/>
      <c r="H54" s="60"/>
      <c r="I54" s="60"/>
      <c r="J54" s="59"/>
      <c r="K54" s="59"/>
      <c r="L54" s="60"/>
      <c r="M54" s="60"/>
      <c r="N54" s="60"/>
      <c r="O54" s="60"/>
      <c r="P54" s="60"/>
      <c r="Q54" s="60"/>
      <c r="R54" s="60"/>
      <c r="S54" s="60"/>
      <c r="T54" s="59"/>
      <c r="U54" s="59"/>
      <c r="V54" s="60"/>
      <c r="W54" s="60"/>
      <c r="X54" s="60"/>
      <c r="Y54" s="60"/>
      <c r="Z54" s="60"/>
      <c r="AA54" s="60"/>
      <c r="AB54" s="60"/>
      <c r="AC54" s="60"/>
      <c r="AD54" s="59"/>
      <c r="AE54" s="59"/>
      <c r="AF54" s="60"/>
      <c r="AG54" s="60"/>
      <c r="AH54" s="60"/>
      <c r="AI54" s="60"/>
      <c r="AJ54" s="60"/>
      <c r="AK54" s="60"/>
      <c r="AL54" s="60"/>
      <c r="AM54" s="60"/>
      <c r="AN54" s="59"/>
      <c r="AO54" s="59"/>
      <c r="AP54" s="60"/>
      <c r="AQ54" s="60"/>
      <c r="AR54" s="60"/>
      <c r="AS54" s="60"/>
      <c r="AT54" s="60"/>
      <c r="AU54" s="60"/>
      <c r="AV54" s="60"/>
      <c r="AW54" s="60"/>
    </row>
    <row r="55" spans="1:59">
      <c r="A55" s="59"/>
      <c r="B55" s="59"/>
      <c r="C55" s="59"/>
      <c r="D55" s="59"/>
      <c r="E55" s="59"/>
      <c r="F55" s="59"/>
      <c r="G55" s="59"/>
      <c r="H55" s="59"/>
      <c r="I55" s="59"/>
      <c r="J55" s="59"/>
      <c r="K55" s="59"/>
      <c r="L55" s="59"/>
      <c r="M55" s="59"/>
      <c r="N55" s="59"/>
      <c r="O55" s="59"/>
      <c r="P55" s="59"/>
      <c r="Q55" s="59"/>
      <c r="R55" s="59"/>
      <c r="S55" s="59"/>
      <c r="T55" s="59"/>
      <c r="U55" s="59"/>
      <c r="V55" s="59"/>
      <c r="W55" s="59"/>
      <c r="X55" s="59"/>
      <c r="Y55" s="59"/>
      <c r="Z55" s="59"/>
      <c r="AA55" s="59"/>
      <c r="AB55" s="59"/>
      <c r="AC55" s="59"/>
      <c r="AD55" s="59"/>
      <c r="AE55" s="59"/>
      <c r="AF55" s="59"/>
      <c r="AG55" s="59"/>
      <c r="AH55" s="59"/>
      <c r="AI55" s="59"/>
      <c r="AJ55" s="59"/>
      <c r="AK55" s="59"/>
      <c r="AL55" s="59"/>
      <c r="AM55" s="59"/>
      <c r="AN55" s="59"/>
      <c r="AO55" s="59"/>
      <c r="AP55" s="59"/>
      <c r="AQ55" s="59"/>
      <c r="AR55" s="59"/>
      <c r="AS55" s="59"/>
      <c r="AT55" s="59"/>
      <c r="AU55" s="59"/>
      <c r="AV55" s="59"/>
      <c r="AW55" s="59"/>
    </row>
    <row r="56" spans="1:59">
      <c r="A56" s="59"/>
      <c r="B56" s="59"/>
      <c r="C56" s="59"/>
      <c r="D56" s="59"/>
      <c r="E56" s="59"/>
      <c r="F56" s="59"/>
      <c r="G56" s="59"/>
      <c r="H56" s="59"/>
      <c r="I56" s="59"/>
      <c r="J56" s="59"/>
      <c r="K56" s="59"/>
      <c r="L56" s="59"/>
      <c r="M56" s="59"/>
      <c r="N56" s="59"/>
      <c r="O56" s="59"/>
      <c r="P56" s="59"/>
      <c r="Q56" s="59"/>
      <c r="R56" s="59"/>
      <c r="S56" s="59"/>
      <c r="T56" s="59"/>
      <c r="U56" s="59"/>
      <c r="V56" s="59"/>
      <c r="W56" s="59"/>
      <c r="X56" s="59"/>
      <c r="Y56" s="59"/>
      <c r="Z56" s="59"/>
      <c r="AA56" s="59"/>
      <c r="AB56" s="59"/>
      <c r="AC56" s="59"/>
      <c r="AD56" s="59"/>
      <c r="AE56" s="59"/>
      <c r="AF56" s="59"/>
      <c r="AG56" s="59"/>
      <c r="AH56" s="59"/>
      <c r="AI56" s="59"/>
      <c r="AJ56" s="59"/>
      <c r="AK56" s="59"/>
      <c r="AL56" s="59"/>
      <c r="AM56" s="59"/>
      <c r="AN56" s="59"/>
      <c r="AO56" s="59"/>
      <c r="AP56" s="59"/>
      <c r="AQ56" s="59"/>
      <c r="AR56" s="59"/>
      <c r="AS56" s="59"/>
      <c r="AT56" s="59"/>
      <c r="AU56" s="59"/>
      <c r="AV56" s="59"/>
      <c r="AW56" s="59"/>
    </row>
    <row r="57" spans="1:59">
      <c r="A57" s="59"/>
      <c r="B57" s="61"/>
      <c r="C57" s="61"/>
      <c r="D57" s="61"/>
      <c r="E57" s="61"/>
      <c r="F57" s="59"/>
      <c r="G57" s="59"/>
      <c r="H57" s="59"/>
      <c r="I57" s="59"/>
      <c r="J57" s="59"/>
      <c r="K57" s="59"/>
      <c r="L57" s="61"/>
      <c r="M57" s="61"/>
      <c r="N57" s="61"/>
      <c r="O57" s="61"/>
      <c r="P57" s="59"/>
      <c r="Q57" s="59"/>
      <c r="R57" s="59"/>
      <c r="S57" s="59"/>
      <c r="T57" s="59"/>
      <c r="U57" s="59"/>
      <c r="V57" s="61"/>
      <c r="W57" s="61"/>
      <c r="X57" s="61"/>
      <c r="Y57" s="61"/>
      <c r="Z57" s="59"/>
      <c r="AA57" s="59"/>
      <c r="AB57" s="59"/>
      <c r="AC57" s="59"/>
      <c r="AD57" s="59"/>
      <c r="AE57" s="59"/>
      <c r="AF57" s="61"/>
      <c r="AG57" s="61"/>
      <c r="AH57" s="61"/>
      <c r="AI57" s="61"/>
      <c r="AJ57" s="59"/>
      <c r="AK57" s="59"/>
      <c r="AL57" s="59"/>
      <c r="AM57" s="59"/>
      <c r="AN57" s="59"/>
      <c r="AO57" s="59"/>
      <c r="AP57" s="61"/>
      <c r="AQ57" s="61"/>
      <c r="AR57" s="61"/>
      <c r="AS57" s="61"/>
      <c r="AT57" s="59"/>
      <c r="AU57" s="59"/>
      <c r="AV57" s="59"/>
      <c r="AW57" s="59"/>
    </row>
    <row r="58" spans="1:59">
      <c r="A58" s="59"/>
      <c r="B58" s="59"/>
      <c r="C58" s="59"/>
      <c r="D58" s="59"/>
      <c r="E58" s="59"/>
      <c r="F58" s="59"/>
      <c r="G58" s="59"/>
      <c r="H58" s="59"/>
      <c r="I58" s="59"/>
      <c r="J58" s="59"/>
      <c r="K58" s="59"/>
      <c r="L58" s="59"/>
      <c r="M58" s="59"/>
      <c r="N58" s="59"/>
      <c r="O58" s="59"/>
      <c r="P58" s="59"/>
      <c r="Q58" s="59"/>
      <c r="R58" s="59"/>
      <c r="S58" s="59"/>
      <c r="T58" s="59"/>
      <c r="U58" s="59"/>
      <c r="V58" s="59"/>
      <c r="W58" s="59"/>
      <c r="X58" s="59"/>
      <c r="Y58" s="59"/>
      <c r="Z58" s="59"/>
      <c r="AA58" s="59"/>
      <c r="AB58" s="59"/>
      <c r="AC58" s="59"/>
      <c r="AD58" s="59"/>
      <c r="AE58" s="59"/>
      <c r="AF58" s="59"/>
      <c r="AG58" s="59"/>
      <c r="AH58" s="59"/>
      <c r="AI58" s="59"/>
      <c r="AJ58" s="59"/>
      <c r="AK58" s="59"/>
      <c r="AL58" s="59"/>
      <c r="AM58" s="59"/>
      <c r="AN58" s="59"/>
      <c r="AO58" s="59"/>
      <c r="AP58" s="59"/>
      <c r="AQ58" s="59"/>
      <c r="AR58" s="59"/>
      <c r="AS58" s="59"/>
      <c r="AT58" s="59"/>
      <c r="AU58" s="59"/>
      <c r="AV58" s="59"/>
      <c r="AW58" s="59"/>
    </row>
    <row r="59" spans="1:59">
      <c r="A59" s="59"/>
      <c r="B59" s="60"/>
      <c r="C59" s="60"/>
      <c r="D59" s="60"/>
      <c r="E59" s="60"/>
      <c r="F59" s="60"/>
      <c r="G59" s="60"/>
      <c r="H59" s="60"/>
      <c r="I59" s="60"/>
      <c r="J59" s="59"/>
      <c r="K59" s="59"/>
      <c r="L59" s="60"/>
      <c r="M59" s="60"/>
      <c r="N59" s="60"/>
      <c r="O59" s="60"/>
      <c r="P59" s="60"/>
      <c r="Q59" s="60"/>
      <c r="R59" s="60"/>
      <c r="S59" s="60"/>
      <c r="T59" s="59"/>
      <c r="U59" s="59"/>
      <c r="V59" s="60"/>
      <c r="W59" s="60"/>
      <c r="X59" s="60"/>
      <c r="Y59" s="60"/>
      <c r="Z59" s="60"/>
      <c r="AA59" s="60"/>
      <c r="AB59" s="60"/>
      <c r="AC59" s="60"/>
      <c r="AD59" s="59"/>
      <c r="AE59" s="59"/>
      <c r="AF59" s="60"/>
      <c r="AG59" s="60"/>
      <c r="AH59" s="60"/>
      <c r="AI59" s="60"/>
      <c r="AJ59" s="60"/>
      <c r="AK59" s="60"/>
      <c r="AL59" s="60"/>
      <c r="AM59" s="60"/>
      <c r="AN59" s="59"/>
      <c r="AO59" s="59"/>
      <c r="AP59" s="60"/>
      <c r="AQ59" s="60"/>
      <c r="AR59" s="60"/>
      <c r="AS59" s="60"/>
      <c r="AT59" s="60"/>
      <c r="AU59" s="60"/>
      <c r="AV59" s="60"/>
      <c r="AW59" s="60"/>
    </row>
    <row r="60" spans="1:59">
      <c r="A60" s="59"/>
      <c r="B60" s="59"/>
      <c r="C60" s="59"/>
      <c r="D60" s="59"/>
      <c r="E60" s="59"/>
      <c r="F60" s="60"/>
      <c r="G60" s="60"/>
      <c r="H60" s="60"/>
      <c r="I60" s="60"/>
      <c r="J60" s="59"/>
      <c r="K60" s="59"/>
      <c r="L60" s="59"/>
      <c r="M60" s="59"/>
      <c r="N60" s="59"/>
      <c r="O60" s="59"/>
      <c r="P60" s="60"/>
      <c r="Q60" s="60"/>
      <c r="R60" s="60"/>
      <c r="S60" s="60"/>
      <c r="T60" s="59"/>
      <c r="U60" s="59"/>
      <c r="V60" s="59"/>
      <c r="W60" s="59"/>
      <c r="X60" s="59"/>
      <c r="Y60" s="59"/>
      <c r="Z60" s="60"/>
      <c r="AA60" s="60"/>
      <c r="AB60" s="60"/>
      <c r="AC60" s="60"/>
      <c r="AD60" s="59"/>
      <c r="AE60" s="59"/>
      <c r="AF60" s="59"/>
      <c r="AG60" s="59"/>
      <c r="AH60" s="59"/>
      <c r="AI60" s="59"/>
      <c r="AJ60" s="60"/>
      <c r="AK60" s="60"/>
      <c r="AL60" s="60"/>
      <c r="AM60" s="60"/>
      <c r="AN60" s="59"/>
      <c r="AO60" s="59"/>
      <c r="AP60" s="59"/>
      <c r="AQ60" s="59"/>
      <c r="AR60" s="59"/>
      <c r="AS60" s="59"/>
      <c r="AT60" s="60"/>
      <c r="AU60" s="60"/>
      <c r="AV60" s="60"/>
      <c r="AW60" s="60"/>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_Version xmlns="http://schemas.microsoft.com/sharepoint/v3/fields" xsi:nil="true"/>
    <BusinessActivityTaxHTField xmlns="http://schemas.microsoft.com/sharepoint/v3">
      <Terms xmlns="http://schemas.microsoft.com/office/infopath/2007/PartnerControls"/>
    </BusinessActivityTaxHTField>
    <SecurityClassificationTaxHTField xmlns="http://schemas.microsoft.com/sharepoint/v3">
      <Terms xmlns="http://schemas.microsoft.com/office/infopath/2007/PartnerControls"/>
    </SecurityClassificationTaxHTField>
    <InformationTypeTaxHTField xmlns="http://schemas.microsoft.com/sharepoint/v3">
      <Terms xmlns="http://schemas.microsoft.com/office/infopath/2007/PartnerControls"/>
    </InformationTypeTaxHTField>
    <BusinessUnitTaxHTField xmlns="http://schemas.microsoft.com/sharepoint/v3">
      <Terms xmlns="http://schemas.microsoft.com/office/infopath/2007/PartnerControls">
        <TermInfo xmlns="http://schemas.microsoft.com/office/infopath/2007/PartnerControls">
          <TermName xmlns="http://schemas.microsoft.com/office/infopath/2007/PartnerControls">Revenue Forecasting</TermName>
          <TermId xmlns="http://schemas.microsoft.com/office/infopath/2007/PartnerControls">22a6019e-35a7-4192-b120-5b0f20d70de5</TermId>
        </TermInfo>
      </Terms>
    </BusinessUnitTaxHTField>
    <DocumentStatusTaxHTField xmlns="http://schemas.microsoft.com/sharepoint/v3">
      <Terms xmlns="http://schemas.microsoft.com/office/infopath/2007/PartnerControls"/>
    </DocumentStatusTaxHTField>
    <TaxCatchAll xmlns="bb3e7710-6c86-4f33-9fa7-57e5751d8f3f">
      <Value>1</Value>
    </TaxCatchAll>
    <wic_System_Copyright xmlns="http://schemas.microsoft.com/sharepoint/v3/fields" xsi:nil="true"/>
    <_dlc_DocId xmlns="bb3e7710-6c86-4f33-9fa7-57e5751d8f3f">IRNZRF-1936080746-51257</_dlc_DocId>
    <_dlc_DocIdUrl xmlns="bb3e7710-6c86-4f33-9fa7-57e5751d8f3f">
      <Url>https://irnz.sharepoint.com/sites/RevenueForecasting/_layouts/15/DocIdRedir.aspx?ID=IRNZRF-1936080746-51257</Url>
      <Description>IRNZRF-1936080746-51257</Description>
    </_dlc_DocIdUrl>
    <lcf76f155ced4ddcb4097134ff3c332f xmlns="c5adfe54-fbe5-48bd-85df-7b64eb8cbe32">
      <Terms xmlns="http://schemas.microsoft.com/office/infopath/2007/PartnerControls"/>
    </lcf76f155ced4ddcb4097134ff3c332f>
    <SharedWithUsers xmlns="bb3e7710-6c86-4f33-9fa7-57e5751d8f3f">
      <UserInfo>
        <DisplayName/>
        <AccountId xsi:nil="true"/>
        <AccountType/>
      </UserInfo>
    </SharedWithUsers>
    <i0f84bba906045b4af568ee102a52dcb xmlns="bb3e7710-6c86-4f33-9fa7-57e5751d8f3f">
      <Terms xmlns="http://schemas.microsoft.com/office/infopath/2007/PartnerControls"/>
    </i0f84bba906045b4af568ee102a52dcb>
    <_ip_UnifiedCompliancePolicyUIAction xmlns="http://schemas.microsoft.com/sharepoint/v3" xsi:nil="true"/>
    <_ip_UnifiedCompliancePolicyProperties xmlns="http://schemas.microsoft.com/sharepoint/v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4.xml><?xml version="1.0" encoding="utf-8"?>
<ct:contentTypeSchema xmlns:ct="http://schemas.microsoft.com/office/2006/metadata/contentType" xmlns:ma="http://schemas.microsoft.com/office/2006/metadata/properties/metaAttributes" ct:_="" ma:_="" ma:contentTypeName="IRNZDocument" ma:contentTypeID="0x010100A99A3D3464918141880706C171BD7BAA01008147ACEF40A7FB46ADFA656A8BBDCBF4" ma:contentTypeVersion="223" ma:contentTypeDescription="Inland Revenue NZ Document" ma:contentTypeScope="" ma:versionID="39d4e48b953353585b2c805b36960acf">
  <xsd:schema xmlns:xsd="http://www.w3.org/2001/XMLSchema" xmlns:xs="http://www.w3.org/2001/XMLSchema" xmlns:p="http://schemas.microsoft.com/office/2006/metadata/properties" xmlns:ns1="http://schemas.microsoft.com/sharepoint/v3" xmlns:ns2="bb3e7710-6c86-4f33-9fa7-57e5751d8f3f" xmlns:ns3="http://schemas.microsoft.com/sharepoint/v3/fields" xmlns:ns4="c5adfe54-fbe5-48bd-85df-7b64eb8cbe32" targetNamespace="http://schemas.microsoft.com/office/2006/metadata/properties" ma:root="true" ma:fieldsID="34249fdab8066f3d6dbf0d854b7bbd17" ns1:_="" ns2:_="" ns3:_="" ns4:_="">
    <xsd:import namespace="http://schemas.microsoft.com/sharepoint/v3"/>
    <xsd:import namespace="bb3e7710-6c86-4f33-9fa7-57e5751d8f3f"/>
    <xsd:import namespace="http://schemas.microsoft.com/sharepoint/v3/fields"/>
    <xsd:import namespace="c5adfe54-fbe5-48bd-85df-7b64eb8cbe32"/>
    <xsd:element name="properties">
      <xsd:complexType>
        <xsd:sequence>
          <xsd:element name="documentManagement">
            <xsd:complexType>
              <xsd:all>
                <xsd:element ref="ns2:_dlc_DocId" minOccurs="0"/>
                <xsd:element ref="ns2:_dlc_DocIdUrl" minOccurs="0"/>
                <xsd:element ref="ns2:_dlc_DocIdPersistId" minOccurs="0"/>
                <xsd:element ref="ns3:_Version" minOccurs="0"/>
                <xsd:element ref="ns3:wic_System_Copyright" minOccurs="0"/>
                <xsd:element ref="ns1:SecurityClassificationTaxHTField" minOccurs="0"/>
                <xsd:element ref="ns2:TaxCatchAll" minOccurs="0"/>
                <xsd:element ref="ns2:TaxCatchAllLabel" minOccurs="0"/>
                <xsd:element ref="ns1:InformationTypeTaxHTField" minOccurs="0"/>
                <xsd:element ref="ns1:BusinessUnitTaxHTField" minOccurs="0"/>
                <xsd:element ref="ns1:BusinessActivityTaxHTField" minOccurs="0"/>
                <xsd:element ref="ns1:DocumentStatusTaxHTField" minOccurs="0"/>
                <xsd:element ref="ns4:MediaServiceMetadata" minOccurs="0"/>
                <xsd:element ref="ns4:MediaServiceFastMetadata" minOccurs="0"/>
                <xsd:element ref="ns4:MediaServiceOCR" minOccurs="0"/>
                <xsd:element ref="ns4:MediaServiceGenerationTime" minOccurs="0"/>
                <xsd:element ref="ns4:MediaServiceEventHashCode" minOccurs="0"/>
                <xsd:element ref="ns4:MediaServiceDateTaken" minOccurs="0"/>
                <xsd:element ref="ns2:SharedWithUsers" minOccurs="0"/>
                <xsd:element ref="ns2:SharedWithDetails" minOccurs="0"/>
                <xsd:element ref="ns4:MediaServiceAutoKeyPoints" minOccurs="0"/>
                <xsd:element ref="ns4:MediaServiceKeyPoints" minOccurs="0"/>
                <xsd:element ref="ns4:lcf76f155ced4ddcb4097134ff3c332f" minOccurs="0"/>
                <xsd:element ref="ns4:MediaServiceSearchProperties" minOccurs="0"/>
                <xsd:element ref="ns4:MediaServiceObjectDetectorVersions" minOccurs="0"/>
                <xsd:element ref="ns4:MediaLengthInSeconds" minOccurs="0"/>
                <xsd:element ref="ns2:i0f84bba906045b4af568ee102a52dcb"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SecurityClassificationTaxHTField" ma:index="14" nillable="true" ma:taxonomy="true" ma:internalName="SecurityClassificationTaxHTField" ma:taxonomyFieldName="SecurityClassification" ma:displayName="Security Classification" ma:default="" ma:fieldId="{2f32f5bd-a907-45fd-bdaf-7ab6f283ee72}" ma:sspId="5927ce2a-d703-4d88-aeb0-762fc977e677" ma:termSetId="8ca4c15b-f438-4b25-aeeb-6af3186238a8" ma:anchorId="00000000-0000-0000-0000-000000000000" ma:open="false" ma:isKeyword="false">
      <xsd:complexType>
        <xsd:sequence>
          <xsd:element ref="pc:Terms" minOccurs="0" maxOccurs="1"/>
        </xsd:sequence>
      </xsd:complexType>
    </xsd:element>
    <xsd:element name="InformationTypeTaxHTField" ma:index="19" nillable="true" ma:taxonomy="true" ma:internalName="InformationTypeTaxHTField" ma:taxonomyFieldName="InformationType" ma:displayName="Information Type" ma:default="" ma:fieldId="{8fb119d1-9c50-490f-b5e6-737b1bfc5b86}" ma:sspId="5927ce2a-d703-4d88-aeb0-762fc977e677" ma:termSetId="fb36316d-ed76-4880-8cc4-a796bc5567d4" ma:anchorId="00000000-0000-0000-0000-000000000000" ma:open="false" ma:isKeyword="false">
      <xsd:complexType>
        <xsd:sequence>
          <xsd:element ref="pc:Terms" minOccurs="0" maxOccurs="1"/>
        </xsd:sequence>
      </xsd:complexType>
    </xsd:element>
    <xsd:element name="BusinessUnitTaxHTField" ma:index="21" nillable="true" ma:taxonomy="true" ma:internalName="BusinessUnitTaxHTField" ma:taxonomyFieldName="BusinessUnit" ma:displayName="Business Unit" ma:default="1;#Revenue Forecasting|22a6019e-35a7-4192-b120-5b0f20d70de5" ma:fieldId="{1d18cb4a-1f03-4570-adf9-d6a1ebf9e20b}" ma:sspId="5927ce2a-d703-4d88-aeb0-762fc977e677" ma:termSetId="8ed8c9ea-7052-4c1d-a4d7-b9c10bffea6f" ma:anchorId="00000000-0000-0000-0000-000000000000" ma:open="true" ma:isKeyword="false">
      <xsd:complexType>
        <xsd:sequence>
          <xsd:element ref="pc:Terms" minOccurs="0" maxOccurs="1"/>
        </xsd:sequence>
      </xsd:complexType>
    </xsd:element>
    <xsd:element name="BusinessActivityTaxHTField" ma:index="23" nillable="true" ma:taxonomy="true" ma:internalName="BusinessActivityTaxHTField" ma:taxonomyFieldName="BusinessActivity" ma:displayName="Business Activity" ma:default="" ma:fieldId="{8b785374-fa9b-49db-abe4-1b5a58a03ecd}" ma:sspId="5927ce2a-d703-4d88-aeb0-762fc977e677" ma:termSetId="27f16461-a9a1-4d80-ad53-ffc6708317a7" ma:anchorId="00000000-0000-0000-0000-000000000000" ma:open="false" ma:isKeyword="false">
      <xsd:complexType>
        <xsd:sequence>
          <xsd:element ref="pc:Terms" minOccurs="0" maxOccurs="1"/>
        </xsd:sequence>
      </xsd:complexType>
    </xsd:element>
    <xsd:element name="DocumentStatusTaxHTField" ma:index="25" nillable="true" ma:taxonomy="true" ma:internalName="DocumentStatusTaxHTField" ma:taxonomyFieldName="DocumentStatus" ma:displayName="Document Status" ma:default="" ma:fieldId="{0c319c61-60f4-4dca-bfac-89e3c05fb13d}" ma:sspId="5927ce2a-d703-4d88-aeb0-762fc977e677" ma:termSetId="3358e485-0f01-450b-a1f2-018b96e592d0" ma:anchorId="00000000-0000-0000-0000-000000000000" ma:open="false" ma:isKeyword="false">
      <xsd:complexType>
        <xsd:sequence>
          <xsd:element ref="pc:Terms" minOccurs="0" maxOccurs="1"/>
        </xsd:sequence>
      </xsd:complexType>
    </xsd:element>
    <xsd:element name="_ip_UnifiedCompliancePolicyProperties" ma:index="44" nillable="true" ma:displayName="Unified Compliance Policy Properties" ma:hidden="true" ma:internalName="_ip_UnifiedCompliancePolicyProperties">
      <xsd:simpleType>
        <xsd:restriction base="dms:Note"/>
      </xsd:simpleType>
    </xsd:element>
    <xsd:element name="_ip_UnifiedCompliancePolicyUIAction" ma:index="45"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b3e7710-6c86-4f33-9fa7-57e5751d8f3f"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5" nillable="true" ma:displayName="Taxonomy Catch All Column" ma:hidden="true" ma:list="{93a04445-fec4-4866-9a4d-c0d26f34d264}" ma:internalName="TaxCatchAll" ma:showField="CatchAllData" ma:web="bb3e7710-6c86-4f33-9fa7-57e5751d8f3f">
      <xsd:complexType>
        <xsd:complexContent>
          <xsd:extension base="dms:MultiChoiceLookup">
            <xsd:sequence>
              <xsd:element name="Value" type="dms:Lookup" maxOccurs="unbounded" minOccurs="0" nillable="true"/>
            </xsd:sequence>
          </xsd:extension>
        </xsd:complexContent>
      </xsd:complexType>
    </xsd:element>
    <xsd:element name="TaxCatchAllLabel" ma:index="16" nillable="true" ma:displayName="Taxonomy Catch All Column1" ma:hidden="true" ma:list="{93a04445-fec4-4866-9a4d-c0d26f34d264}" ma:internalName="TaxCatchAllLabel" ma:readOnly="true" ma:showField="CatchAllDataLabel" ma:web="bb3e7710-6c86-4f33-9fa7-57e5751d8f3f">
      <xsd:complexType>
        <xsd:complexContent>
          <xsd:extension base="dms:MultiChoiceLookup">
            <xsd:sequence>
              <xsd:element name="Value" type="dms:Lookup" maxOccurs="unbounded" minOccurs="0" nillable="true"/>
            </xsd:sequence>
          </xsd:extension>
        </xsd:complexContent>
      </xsd:complexType>
    </xsd:element>
    <xsd:element name="SharedWithUsers" ma:index="3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34" nillable="true" ma:displayName="Shared With Details" ma:internalName="SharedWithDetails" ma:readOnly="true">
      <xsd:simpleType>
        <xsd:restriction base="dms:Note">
          <xsd:maxLength value="255"/>
        </xsd:restriction>
      </xsd:simpleType>
    </xsd:element>
    <xsd:element name="i0f84bba906045b4af568ee102a52dcb" ma:index="43" nillable="true" ma:taxonomy="true" ma:internalName="i0f84bba906045b4af568ee102a52dcb" ma:taxonomyFieldName="RevIMBCS" ma:displayName="Records Classification" ma:indexed="true" ma:default="" ma:fieldId="{20f84bba-9060-45b4-af56-8ee102a52dcb}" ma:sspId="5927ce2a-d703-4d88-aeb0-762fc977e677" ma:termSetId="be3f21f3-a222-47a1-85c1-570715bf89ce"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Version" ma:index="12" nillable="true" ma:displayName="Version" ma:internalName="_Version">
      <xsd:simpleType>
        <xsd:restriction base="dms:Text"/>
      </xsd:simpleType>
    </xsd:element>
    <xsd:element name="wic_System_Copyright" ma:index="13" nillable="true" ma:displayName="Copyright" ma:internalName="wic_System_Copyright">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5adfe54-fbe5-48bd-85df-7b64eb8cbe32" elementFormDefault="qualified">
    <xsd:import namespace="http://schemas.microsoft.com/office/2006/documentManagement/types"/>
    <xsd:import namespace="http://schemas.microsoft.com/office/infopath/2007/PartnerControls"/>
    <xsd:element name="MediaServiceMetadata" ma:index="27" nillable="true" ma:displayName="MediaServiceMetadata" ma:hidden="true" ma:internalName="MediaServiceMetadata" ma:readOnly="true">
      <xsd:simpleType>
        <xsd:restriction base="dms:Note"/>
      </xsd:simpleType>
    </xsd:element>
    <xsd:element name="MediaServiceFastMetadata" ma:index="28" nillable="true" ma:displayName="MediaServiceFastMetadata" ma:hidden="true" ma:internalName="MediaServiceFastMetadata" ma:readOnly="true">
      <xsd:simpleType>
        <xsd:restriction base="dms:Note"/>
      </xsd:simpleType>
    </xsd:element>
    <xsd:element name="MediaServiceOCR" ma:index="29" nillable="true" ma:displayName="Extracted Text" ma:internalName="MediaServiceOCR" ma:readOnly="true">
      <xsd:simpleType>
        <xsd:restriction base="dms:Note">
          <xsd:maxLength value="255"/>
        </xsd:restriction>
      </xsd:simpleType>
    </xsd:element>
    <xsd:element name="MediaServiceGenerationTime" ma:index="30" nillable="true" ma:displayName="MediaServiceGenerationTime" ma:hidden="true" ma:internalName="MediaServiceGenerationTime" ma:readOnly="true">
      <xsd:simpleType>
        <xsd:restriction base="dms:Text"/>
      </xsd:simpleType>
    </xsd:element>
    <xsd:element name="MediaServiceEventHashCode" ma:index="31" nillable="true" ma:displayName="MediaServiceEventHashCode" ma:hidden="true" ma:internalName="MediaServiceEventHashCode" ma:readOnly="true">
      <xsd:simpleType>
        <xsd:restriction base="dms:Text"/>
      </xsd:simpleType>
    </xsd:element>
    <xsd:element name="MediaServiceDateTaken" ma:index="32" nillable="true" ma:displayName="MediaServiceDateTaken" ma:hidden="true" ma:internalName="MediaServiceDateTaken" ma:readOnly="true">
      <xsd:simpleType>
        <xsd:restriction base="dms:Text"/>
      </xsd:simpleType>
    </xsd:element>
    <xsd:element name="MediaServiceAutoKeyPoints" ma:index="35" nillable="true" ma:displayName="MediaServiceAutoKeyPoints" ma:hidden="true" ma:internalName="MediaServiceAutoKeyPoints" ma:readOnly="true">
      <xsd:simpleType>
        <xsd:restriction base="dms:Note"/>
      </xsd:simpleType>
    </xsd:element>
    <xsd:element name="MediaServiceKeyPoints" ma:index="36" nillable="true" ma:displayName="KeyPoints" ma:internalName="MediaServiceKeyPoints" ma:readOnly="true">
      <xsd:simpleType>
        <xsd:restriction base="dms:Note">
          <xsd:maxLength value="255"/>
        </xsd:restriction>
      </xsd:simpleType>
    </xsd:element>
    <xsd:element name="lcf76f155ced4ddcb4097134ff3c332f" ma:index="38" nillable="true" ma:taxonomy="true" ma:internalName="lcf76f155ced4ddcb4097134ff3c332f" ma:taxonomyFieldName="MediaServiceImageTags" ma:displayName="Image Tags" ma:readOnly="false" ma:fieldId="{5cf76f15-5ced-4ddc-b409-7134ff3c332f}" ma:taxonomyMulti="true" ma:sspId="5927ce2a-d703-4d88-aeb0-762fc977e677" ma:termSetId="09814cd3-568e-fe90-9814-8d621ff8fb84" ma:anchorId="fba54fb3-c3e1-fe81-a776-ca4b69148c4d" ma:open="true" ma:isKeyword="false">
      <xsd:complexType>
        <xsd:sequence>
          <xsd:element ref="pc:Terms" minOccurs="0" maxOccurs="1"/>
        </xsd:sequence>
      </xsd:complexType>
    </xsd:element>
    <xsd:element name="MediaServiceSearchProperties" ma:index="39" nillable="true" ma:displayName="MediaServiceSearchProperties" ma:hidden="true" ma:internalName="MediaServiceSearchProperties" ma:readOnly="true">
      <xsd:simpleType>
        <xsd:restriction base="dms:Note"/>
      </xsd:simpleType>
    </xsd:element>
    <xsd:element name="MediaServiceObjectDetectorVersions" ma:index="40" nillable="true" ma:displayName="MediaServiceObjectDetectorVersions" ma:description="" ma:hidden="true" ma:indexed="true" ma:internalName="MediaServiceObjectDetectorVersions" ma:readOnly="true">
      <xsd:simpleType>
        <xsd:restriction base="dms:Text"/>
      </xsd:simpleType>
    </xsd:element>
    <xsd:element name="MediaLengthInSeconds" ma:index="41"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ma:index="11" ma:displayName="Author"/>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ma:index="18" ma:displayName="Comments"/>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1D79FEA-257F-44E7-80AE-3297C1663E8C}">
  <ds:schemaRefs>
    <ds:schemaRef ds:uri="http://schemas.microsoft.com/sharepoint/v3"/>
    <ds:schemaRef ds:uri="http://www.w3.org/XML/1998/namespace"/>
    <ds:schemaRef ds:uri="http://schemas.microsoft.com/sharepoint/v3/fields"/>
    <ds:schemaRef ds:uri="http://purl.org/dc/terms/"/>
    <ds:schemaRef ds:uri="http://purl.org/dc/elements/1.1/"/>
    <ds:schemaRef ds:uri="http://schemas.microsoft.com/office/infopath/2007/PartnerControls"/>
    <ds:schemaRef ds:uri="c5adfe54-fbe5-48bd-85df-7b64eb8cbe32"/>
    <ds:schemaRef ds:uri="http://schemas.microsoft.com/office/2006/documentManagement/types"/>
    <ds:schemaRef ds:uri="http://purl.org/dc/dcmitype/"/>
    <ds:schemaRef ds:uri="http://schemas.openxmlformats.org/package/2006/metadata/core-properties"/>
    <ds:schemaRef ds:uri="bb3e7710-6c86-4f33-9fa7-57e5751d8f3f"/>
    <ds:schemaRef ds:uri="http://schemas.microsoft.com/office/2006/metadata/properties"/>
  </ds:schemaRefs>
</ds:datastoreItem>
</file>

<file path=customXml/itemProps2.xml><?xml version="1.0" encoding="utf-8"?>
<ds:datastoreItem xmlns:ds="http://schemas.openxmlformats.org/officeDocument/2006/customXml" ds:itemID="{C1A1B29B-DEAB-4458-A85D-88BC761F9724}">
  <ds:schemaRefs>
    <ds:schemaRef ds:uri="http://schemas.microsoft.com/sharepoint/v3/contenttype/forms"/>
  </ds:schemaRefs>
</ds:datastoreItem>
</file>

<file path=customXml/itemProps3.xml><?xml version="1.0" encoding="utf-8"?>
<ds:datastoreItem xmlns:ds="http://schemas.openxmlformats.org/officeDocument/2006/customXml" ds:itemID="{0499B653-D8CE-4CAF-A5A4-41FF32505DE5}">
  <ds:schemaRefs>
    <ds:schemaRef ds:uri="http://schemas.microsoft.com/sharepoint/events"/>
  </ds:schemaRefs>
</ds:datastoreItem>
</file>

<file path=customXml/itemProps4.xml><?xml version="1.0" encoding="utf-8"?>
<ds:datastoreItem xmlns:ds="http://schemas.openxmlformats.org/officeDocument/2006/customXml" ds:itemID="{B2FA0E46-56F8-415F-A1B9-140AD55F0F3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bb3e7710-6c86-4f33-9fa7-57e5751d8f3f"/>
    <ds:schemaRef ds:uri="http://schemas.microsoft.com/sharepoint/v3/fields"/>
    <ds:schemaRef ds:uri="c5adfe54-fbe5-48bd-85df-7b64eb8cbe3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665369cb-4b57-4918-891b-be45ced60474}" enabled="1" method="Privileged" siteId="{fb39e3e9-23a9-404e-93a2-b42a87d94f35}"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Explanatory notes</vt:lpstr>
      <vt:lpstr>Working for familes parameters</vt:lpstr>
      <vt:lpstr>Working for families charts</vt:lpstr>
      <vt:lpstr>Working for families data</vt:lpstr>
      <vt:lpstr>Working for families income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Josh Teng</dc:creator>
  <cp:keywords/>
  <dc:description/>
  <cp:lastModifiedBy>Brian Bond</cp:lastModifiedBy>
  <cp:revision/>
  <dcterms:created xsi:type="dcterms:W3CDTF">2020-10-12T02:51:17Z</dcterms:created>
  <dcterms:modified xsi:type="dcterms:W3CDTF">2026-09-03T20:36:20Z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0x010100A99A3D3464918141880706C171BD7BAA01008147ACEF40A7FB46ADFA656A8BBDCBF4</vt:lpwstr>
  </property>
  <property fmtid="{D5CDD505-2E9C-101B-9397-08002B2CF9AE}" pid="3" name="InformationType">
    <vt:lpwstr/>
  </property>
  <property fmtid="{D5CDD505-2E9C-101B-9397-08002B2CF9AE}" pid="4" name="DocumentStatus">
    <vt:lpwstr/>
  </property>
  <property fmtid="{D5CDD505-2E9C-101B-9397-08002B2CF9AE}" pid="5" name="BusinessUnit">
    <vt:lpwstr>1;#Revenue Forecasting|22a6019e-35a7-4192-b120-5b0f20d70de5</vt:lpwstr>
  </property>
  <property fmtid="{D5CDD505-2E9C-101B-9397-08002B2CF9AE}" pid="6" name="SecurityClassification">
    <vt:lpwstr/>
  </property>
  <property fmtid="{D5CDD505-2E9C-101B-9397-08002B2CF9AE}" pid="7" name="BusinessActivity">
    <vt:lpwstr/>
  </property>
  <property fmtid="{D5CDD505-2E9C-101B-9397-08002B2CF9AE}" pid="8" name="_dlc_DocIdItemGuid">
    <vt:lpwstr>19c4aa0e-54af-49b2-b30a-55a6c88a18b1</vt:lpwstr>
  </property>
  <property fmtid="{D5CDD505-2E9C-101B-9397-08002B2CF9AE}" pid="9" name="MediaServiceImageTags">
    <vt:lpwstr/>
  </property>
  <property fmtid="{D5CDD505-2E9C-101B-9397-08002B2CF9AE}" pid="10" name="MSIP_Label_665369cb-4b57-4918-891b-be45ced60474_Enabled">
    <vt:lpwstr>true</vt:lpwstr>
  </property>
  <property fmtid="{D5CDD505-2E9C-101B-9397-08002B2CF9AE}" pid="11" name="MSIP_Label_665369cb-4b57-4918-891b-be45ced60474_SetDate">
    <vt:lpwstr>2023-05-03T23:06:02Z</vt:lpwstr>
  </property>
  <property fmtid="{D5CDD505-2E9C-101B-9397-08002B2CF9AE}" pid="12" name="MSIP_Label_665369cb-4b57-4918-891b-be45ced60474_Method">
    <vt:lpwstr>Privileged</vt:lpwstr>
  </property>
  <property fmtid="{D5CDD505-2E9C-101B-9397-08002B2CF9AE}" pid="13" name="MSIP_Label_665369cb-4b57-4918-891b-be45ced60474_Name">
    <vt:lpwstr>665369cb-4b57-4918-891b-be45ced60474</vt:lpwstr>
  </property>
  <property fmtid="{D5CDD505-2E9C-101B-9397-08002B2CF9AE}" pid="14" name="MSIP_Label_665369cb-4b57-4918-891b-be45ced60474_SiteId">
    <vt:lpwstr>fb39e3e9-23a9-404e-93a2-b42a87d94f35</vt:lpwstr>
  </property>
  <property fmtid="{D5CDD505-2E9C-101B-9397-08002B2CF9AE}" pid="15" name="MSIP_Label_665369cb-4b57-4918-891b-be45ced60474_ActionId">
    <vt:lpwstr>f168177b-0e2a-4131-ac87-9f9379bf86cd</vt:lpwstr>
  </property>
  <property fmtid="{D5CDD505-2E9C-101B-9397-08002B2CF9AE}" pid="16" name="MSIP_Label_665369cb-4b57-4918-891b-be45ced60474_ContentBits">
    <vt:lpwstr>1</vt:lpwstr>
  </property>
  <property fmtid="{D5CDD505-2E9C-101B-9397-08002B2CF9AE}" pid="17" name="RevIMBCS">
    <vt:lpwstr/>
  </property>
</Properties>
</file>